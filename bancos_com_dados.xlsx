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REAIS" sheetId="1" state="visible" r:id="rId3"/>
  </sheets>
  <definedNames>
    <definedName function="false" hidden="true" localSheetId="0" name="_xlnm._FilterDatabase" vbProcedure="false">'DADOS REAIS'!$A$1:$Y$85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tc={1D18350F-16BB-4085-9F70-EA98AB229EC0}</author>
    <author>tc={1D52F0A3-4DD9-4D87-B893-FAF196530E57}</author>
    <author>tc={266175D5-232F-48D8-A1FE-F864B2CB1910}</author>
    <author>tc={3DE676F7-F5CC-48E0-9364-1103C409DB51}</author>
    <author>tc={583C90FA-6D4B-4EAD-9A12-EF0054C91AEB}</author>
    <author>tc={71D085AE-1F79-4578-B3CA-858CAC622FE1}</author>
    <author>tc={914371F2-7BAC-440E-86B2-3D43A94D4C11}</author>
    <author>tc={BCC44051-F142-407F-8811-38D283FD3D49}</author>
    <author>tc={C138A883-C030-43AC-9BE7-E247564A254C}</author>
    <author>tc={C88805FF-E88E-4A7D-9AB5-25E228D681BC}</author>
    <author>tc={E080441C-058E-4247-B9ED-C9CE7B94A410}</author>
    <author>tc={E46903C6-017B-43DC-85DB-BBCB174C4582}</author>
  </authors>
  <commentList>
    <comment ref="H1" authorId="3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(CADA BANCO POSSUI SUBCATEGORIAS)
Responder:
    Quantidade total de moeda social criada no mês no respectivo banco</t>
        </r>
      </text>
    </comment>
    <comment ref="J1" authorId="1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todas as operações, incluindo transferências e saques</t>
        </r>
      </text>
    </comment>
    <comment ref="K1" authorId="0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(TROCA DE MOEDA SOCIAL POR REAL)</t>
        </r>
      </text>
    </comment>
    <comment ref="L1" authorId="2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Soma dos saldos de todas as contas do respectivo banco ao fnal do mês</t>
        </r>
      </text>
    </comment>
    <comment ref="M1" authorId="10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Taxas e tarifas arrecadadas com a circulação da moeda social e que permanecem no banco local (alimentando o "fundo comunitário")</t>
        </r>
      </text>
    </comment>
    <comment ref="N1" authorId="8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FICA NA COMUNIDADE</t>
        </r>
      </text>
    </comment>
    <comment ref="O1" authorId="7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(VALOR SAI DA COMUNIDADE)</t>
        </r>
      </text>
    </comment>
    <comment ref="U1" authorId="4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Total de taxas e tarifas arrecadado no mês com a circulação da moeda social do referido banco (parte fica no banco local, parte vai para a Rede de Bancos)</t>
        </r>
      </text>
    </comment>
    <comment ref="V1" authorId="6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= Moeda social em circulação / Saques
Responder:
    Quanto mais troca de moeda social por real (saque), menos confiança
Responder:
    GRAU DE PERMANÊNCIA
Responder:
    Moeda social em circulação / Ex-moeda social (Ex-moeda social = Saques + Pagamento de boletos e convênios).</t>
        </r>
      </text>
    </comment>
    <comment ref="W1" authorId="11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= Arrecadação do BCD em taxas  / Moeda social em circulação
Responder:
    % de taxas que ficam no banco local em relação à quantidade de moeda em circulação
Responder:
    Um número baixo pode indicar que a moeda local está saindo rapidamente de circulação (sendo trocada por real), ou que as pessoas não estão realizando transações ("moeda parada")</t>
        </r>
      </text>
    </comment>
    <comment ref="X1" authorId="9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= VALOR GASTO NO COMÉRCIO LOCAL / total de gastos
Responder:
    total de gastos = = VALOR GASTO NO COMÉRCIO LOCAL + PAGAMENTO DE BOLETOS/CONVÊNIOS</t>
        </r>
      </text>
    </comment>
    <comment ref="Y1" authorId="5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= NÚMERO DE COMÉRCIOS COM VENDA / NÚMERO DE COMÉRCIOS CREDENCIADOS ATIVOS
Responder:
    Indica a distribuição de vendas pela rede cadastrada de comerciantes/produtores locais</t>
        </r>
      </text>
    </comment>
  </commentList>
</comments>
</file>

<file path=xl/sharedStrings.xml><?xml version="1.0" encoding="utf-8"?>
<sst xmlns="http://schemas.openxmlformats.org/spreadsheetml/2006/main" count="277" uniqueCount="34">
  <si>
    <t xml:space="preserve">Município</t>
  </si>
  <si>
    <t xml:space="preserve">Estado</t>
  </si>
  <si>
    <t xml:space="preserve">Prefeitura (RPE)</t>
  </si>
  <si>
    <t xml:space="preserve">Projeto (ISA)</t>
  </si>
  <si>
    <t xml:space="preserve">data</t>
  </si>
  <si>
    <t xml:space="preserve">Banco Comunitário</t>
  </si>
  <si>
    <t xml:space="preserve">TOTAL DE CONTAS ATIVAS</t>
  </si>
  <si>
    <t xml:space="preserve">CRÉDITO TOTAL</t>
  </si>
  <si>
    <t xml:space="preserve">DEPÓSITOS RELACIONADOS À PETROBRAS</t>
  </si>
  <si>
    <t xml:space="preserve">QUANTIDADE DE OPERAÇÕES REALIZADAS</t>
  </si>
  <si>
    <t xml:space="preserve">Saques</t>
  </si>
  <si>
    <t xml:space="preserve">Moeda social em circulação</t>
  </si>
  <si>
    <t xml:space="preserve">Arrecadação do BCD em taxas </t>
  </si>
  <si>
    <t xml:space="preserve">VALOR GASTO NO COMÉRCIO LOCAL</t>
  </si>
  <si>
    <t xml:space="preserve">PAGAMENTO DE BOLETOS/CONVÊNIOS </t>
  </si>
  <si>
    <t xml:space="preserve">Número de pessoas beneficiadas pelo legado</t>
  </si>
  <si>
    <t xml:space="preserve">Uso do legado em Microcrédito </t>
  </si>
  <si>
    <t xml:space="preserve">Uso do legado em Projetos Sociais</t>
  </si>
  <si>
    <t xml:space="preserve">NÚMERO DE COMÉRCIOS CREDENCIADOS ATIVOS</t>
  </si>
  <si>
    <t xml:space="preserve">NÚMERO DE COMÉRCIOS COM VENDA</t>
  </si>
  <si>
    <t xml:space="preserve">TAXAS E TARIFAS</t>
  </si>
  <si>
    <t xml:space="preserve">GRAU DE CONFIANÇA NA MOEDA</t>
  </si>
  <si>
    <t xml:space="preserve">GRAU DE AUMENTO DO FUNDO COMUNITÁRIO</t>
  </si>
  <si>
    <t xml:space="preserve">GRAU DE USO COMUNITÁRIO DA MOEDA</t>
  </si>
  <si>
    <t xml:space="preserve">GRAU DE ATIVIDADE DO COMÉRCIO</t>
  </si>
  <si>
    <t xml:space="preserve">A</t>
  </si>
  <si>
    <t xml:space="preserve">X</t>
  </si>
  <si>
    <t xml:space="preserve">BA</t>
  </si>
  <si>
    <t xml:space="preserve">B</t>
  </si>
  <si>
    <t xml:space="preserve">Y</t>
  </si>
  <si>
    <t xml:space="preserve">BB</t>
  </si>
  <si>
    <t xml:space="preserve">C</t>
  </si>
  <si>
    <t xml:space="preserve">Z</t>
  </si>
  <si>
    <t xml:space="preserve">BC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</si>
</sst>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/m/yyyy"/>
    <numFmt numFmtId="166" formatCode="_-* #,##0.00_-;\-* #,##0.00_-;_-* \-??_-;_-@_-"/>
    <numFmt numFmtId="167" formatCode="_-* #,##0_-;\-* #,##0_-;_-* \-??_-;_-@_-"/>
    <numFmt numFmtId="168" formatCode="_-&quot;R$ &quot;* #,##0.00_-;&quot;-R$ &quot;* #,##0.00_-;_-&quot;R$ &quot;* \-??_-;_-@_-"/>
    <numFmt numFmtId="169" formatCode="#,##0.00"/>
    <numFmt numFmtId="170" formatCode="0%"/>
    <numFmt numFmtId="171" formatCode="0.00"/>
    <numFmt numFmtId="172" formatCode="0.0%"/>
    <numFmt numFmtId="173" formatCode="&quot;R$ &quot;#,##0.00;[RED]&quot;-R$ &quot;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theme="4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1" fontId="0" fillId="5" borderId="0" xfId="1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1" fontId="0" fillId="5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2" borderId="0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5B9BD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G58" activePane="bottomRight" state="frozen"/>
      <selection pane="topLeft" activeCell="A1" activeCellId="0" sqref="A1"/>
      <selection pane="topRight" activeCell="G1" activeCellId="0" sqref="G1"/>
      <selection pane="bottomLeft" activeCell="A58" activeCellId="0" sqref="A58"/>
      <selection pane="bottomRight" activeCell="G78" activeCellId="0" sqref="G7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1" width="10.11"/>
    <col collapsed="false" customWidth="false" hidden="false" outlineLevel="0" max="2" min="2" style="1" width="9.11"/>
    <col collapsed="false" customWidth="true" hidden="false" outlineLevel="0" max="3" min="3" style="1" width="13.34"/>
    <col collapsed="false" customWidth="true" hidden="false" outlineLevel="0" max="4" min="4" style="1" width="12.56"/>
    <col collapsed="false" customWidth="true" hidden="false" outlineLevel="0" max="5" min="5" style="1" width="14.44"/>
    <col collapsed="false" customWidth="true" hidden="false" outlineLevel="0" max="7" min="6" style="1" width="18"/>
    <col collapsed="false" customWidth="true" hidden="false" outlineLevel="0" max="8" min="8" style="1" width="23.33"/>
    <col collapsed="false" customWidth="true" hidden="false" outlineLevel="0" max="9" min="9" style="1" width="16.33"/>
    <col collapsed="false" customWidth="true" hidden="false" outlineLevel="0" max="10" min="10" style="1" width="22.67"/>
    <col collapsed="false" customWidth="true" hidden="false" outlineLevel="0" max="11" min="11" style="1" width="18.11"/>
    <col collapsed="false" customWidth="true" hidden="false" outlineLevel="0" max="12" min="12" style="1" width="22.56"/>
    <col collapsed="false" customWidth="true" hidden="false" outlineLevel="0" max="13" min="13" style="1" width="27.67"/>
    <col collapsed="false" customWidth="true" hidden="false" outlineLevel="0" max="20" min="14" style="1" width="23"/>
    <col collapsed="false" customWidth="true" hidden="false" outlineLevel="0" max="21" min="21" style="1" width="17.88"/>
    <col collapsed="false" customWidth="true" hidden="false" outlineLevel="0" max="22" min="22" style="2" width="12.44"/>
    <col collapsed="false" customWidth="true" hidden="false" outlineLevel="0" max="23" min="23" style="1" width="16"/>
    <col collapsed="false" customWidth="true" hidden="false" outlineLevel="0" max="25" min="24" style="1" width="23"/>
    <col collapsed="false" customWidth="false" hidden="false" outlineLevel="0" max="16384" min="26" style="1" width="9.11"/>
  </cols>
  <sheetData>
    <row r="1" customFormat="false" ht="57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4" t="s">
        <v>8</v>
      </c>
      <c r="J1" s="6" t="s">
        <v>9</v>
      </c>
      <c r="K1" s="4" t="s">
        <v>10</v>
      </c>
      <c r="L1" s="6" t="s">
        <v>11</v>
      </c>
      <c r="M1" s="4" t="s">
        <v>12</v>
      </c>
      <c r="N1" s="6" t="s">
        <v>13</v>
      </c>
      <c r="O1" s="6" t="s">
        <v>14</v>
      </c>
      <c r="P1" s="4" t="s">
        <v>15</v>
      </c>
      <c r="Q1" s="4" t="s">
        <v>16</v>
      </c>
      <c r="R1" s="4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10" t="s">
        <v>22</v>
      </c>
      <c r="X1" s="10" t="s">
        <v>23</v>
      </c>
      <c r="Y1" s="10" t="s">
        <v>24</v>
      </c>
    </row>
    <row r="2" customFormat="false" ht="14.25" hidden="false" customHeight="false" outlineLevel="0" collapsed="false">
      <c r="A2" s="1" t="s">
        <v>25</v>
      </c>
      <c r="B2" s="1" t="s">
        <v>26</v>
      </c>
      <c r="E2" s="11" t="n">
        <v>44652</v>
      </c>
      <c r="F2" s="1" t="s">
        <v>27</v>
      </c>
      <c r="G2" s="12" t="n">
        <v>57027</v>
      </c>
      <c r="H2" s="13" t="n">
        <v>34385589.75</v>
      </c>
      <c r="I2" s="14"/>
      <c r="J2" s="12" t="n">
        <v>286673</v>
      </c>
      <c r="K2" s="13" t="n">
        <v>21053294.88</v>
      </c>
      <c r="L2" s="15" t="n">
        <v>22635035.37</v>
      </c>
      <c r="M2" s="13" t="n">
        <v>882946.6</v>
      </c>
      <c r="N2" s="13" t="n">
        <v>26101456.7</v>
      </c>
      <c r="O2" s="13" t="n">
        <v>4553271.65</v>
      </c>
      <c r="P2" s="1" t="n">
        <v>0</v>
      </c>
      <c r="Q2" s="1" t="n">
        <v>0</v>
      </c>
      <c r="R2" s="1" t="n">
        <v>0</v>
      </c>
      <c r="S2" s="12" t="n">
        <v>7190</v>
      </c>
      <c r="T2" s="12" t="n">
        <v>6250</v>
      </c>
      <c r="U2" s="15" t="n">
        <v>365132.74</v>
      </c>
      <c r="V2" s="16" t="n">
        <f aca="false">L2/(K2+O2)</f>
        <v>0.883954330366056</v>
      </c>
      <c r="W2" s="17" t="n">
        <f aca="false">(M2/L2)*100</f>
        <v>3.90079620184839</v>
      </c>
      <c r="X2" s="18" t="n">
        <f aca="false">N2/(N2+O2)</f>
        <v>0.851465927278393</v>
      </c>
      <c r="Y2" s="18" t="n">
        <f aca="false">T2/S2</f>
        <v>0.869262865090403</v>
      </c>
    </row>
    <row r="3" customFormat="false" ht="14.25" hidden="false" customHeight="false" outlineLevel="0" collapsed="false">
      <c r="A3" s="1" t="s">
        <v>25</v>
      </c>
      <c r="B3" s="1" t="s">
        <v>26</v>
      </c>
      <c r="C3" s="19"/>
      <c r="E3" s="19" t="n">
        <v>44896</v>
      </c>
      <c r="F3" s="1" t="s">
        <v>27</v>
      </c>
      <c r="G3" s="12" t="n">
        <v>60225</v>
      </c>
      <c r="H3" s="13" t="n">
        <v>39894781.73</v>
      </c>
      <c r="J3" s="12" t="n">
        <v>417168</v>
      </c>
      <c r="K3" s="13" t="n">
        <v>24169279.16</v>
      </c>
      <c r="L3" s="13" t="n">
        <v>39886600.25</v>
      </c>
      <c r="M3" s="20" t="n">
        <v>822187.43</v>
      </c>
      <c r="N3" s="13" t="n">
        <v>41104125.87</v>
      </c>
      <c r="O3" s="13" t="n">
        <v>8123765.33</v>
      </c>
      <c r="S3" s="12" t="n">
        <v>7505</v>
      </c>
      <c r="T3" s="12" t="n">
        <v>6475</v>
      </c>
      <c r="U3" s="13"/>
      <c r="V3" s="16" t="n">
        <f aca="false">L3/(K3+O3)</f>
        <v>1.235145241953</v>
      </c>
      <c r="W3" s="17" t="n">
        <f aca="false">(M3/L3)*100</f>
        <v>2.06131238272181</v>
      </c>
      <c r="X3" s="18" t="n">
        <f aca="false">N3/(N3+O3)</f>
        <v>0.834976369452933</v>
      </c>
      <c r="Y3" s="18" t="n">
        <f aca="false">T3/S3</f>
        <v>0.86275816122585</v>
      </c>
    </row>
    <row r="4" customFormat="false" ht="14.25" hidden="false" customHeight="false" outlineLevel="0" collapsed="false">
      <c r="A4" s="1" t="s">
        <v>25</v>
      </c>
      <c r="B4" s="1" t="s">
        <v>26</v>
      </c>
      <c r="E4" s="11" t="n">
        <v>44621</v>
      </c>
      <c r="F4" s="1" t="s">
        <v>27</v>
      </c>
      <c r="G4" s="12" t="n">
        <v>55247</v>
      </c>
      <c r="H4" s="13" t="n">
        <v>22416659.4</v>
      </c>
      <c r="I4" s="21"/>
      <c r="J4" s="12" t="n">
        <v>300155</v>
      </c>
      <c r="K4" s="13" t="n">
        <v>19885803.93</v>
      </c>
      <c r="L4" s="15" t="n">
        <v>13901257.91</v>
      </c>
      <c r="M4" s="13" t="n">
        <v>684017.26</v>
      </c>
      <c r="N4" s="13" t="n">
        <v>24211808.07</v>
      </c>
      <c r="O4" s="13" t="n">
        <v>4759884.41</v>
      </c>
      <c r="P4" s="1" t="n">
        <v>0</v>
      </c>
      <c r="Q4" s="1" t="n">
        <v>0</v>
      </c>
      <c r="R4" s="1" t="n">
        <v>0</v>
      </c>
      <c r="S4" s="12" t="n">
        <v>7180</v>
      </c>
      <c r="T4" s="12" t="n">
        <v>6369</v>
      </c>
      <c r="U4" s="15" t="n">
        <v>321587.89</v>
      </c>
      <c r="V4" s="16" t="n">
        <f aca="false">L4/(K4+O4)</f>
        <v>0.564044214072051</v>
      </c>
      <c r="W4" s="17" t="n">
        <f aca="false">(M4/L4)*100</f>
        <v>4.92054218710629</v>
      </c>
      <c r="X4" s="18" t="n">
        <f aca="false">N4/(N4+O4)</f>
        <v>0.835705683632881</v>
      </c>
      <c r="Y4" s="18" t="n">
        <f aca="false">T4/S4</f>
        <v>0.887047353760446</v>
      </c>
    </row>
    <row r="5" customFormat="false" ht="14.25" hidden="false" customHeight="false" outlineLevel="0" collapsed="false">
      <c r="A5" s="1" t="s">
        <v>25</v>
      </c>
      <c r="B5" s="1" t="s">
        <v>26</v>
      </c>
      <c r="C5" s="19"/>
      <c r="E5" s="19" t="n">
        <v>44713</v>
      </c>
      <c r="F5" s="1" t="s">
        <v>27</v>
      </c>
      <c r="G5" s="12" t="n">
        <v>58233</v>
      </c>
      <c r="H5" s="13" t="n">
        <v>25547666.3</v>
      </c>
      <c r="J5" s="12" t="n">
        <v>300118</v>
      </c>
      <c r="K5" s="13" t="n">
        <v>19267714.01</v>
      </c>
      <c r="L5" s="13" t="n">
        <v>25583793.43</v>
      </c>
      <c r="M5" s="13" t="n">
        <v>601169.07</v>
      </c>
      <c r="N5" s="13" t="n">
        <v>30055096.07</v>
      </c>
      <c r="O5" s="13" t="n">
        <v>5655474.03</v>
      </c>
      <c r="S5" s="12" t="n">
        <v>6676</v>
      </c>
      <c r="T5" s="12" t="n">
        <v>5455</v>
      </c>
      <c r="U5" s="13" t="n">
        <v>817364.33</v>
      </c>
      <c r="V5" s="16" t="n">
        <f aca="false">L5/(K5+O5)</f>
        <v>1.02650565364831</v>
      </c>
      <c r="W5" s="17" t="n">
        <f aca="false">(M5/L5)*100</f>
        <v>2.34980426825624</v>
      </c>
      <c r="X5" s="18" t="n">
        <f aca="false">N5/(N5+O5)</f>
        <v>0.84163025081473</v>
      </c>
      <c r="Y5" s="18" t="n">
        <f aca="false">T5/S5</f>
        <v>0.817106051527861</v>
      </c>
    </row>
    <row r="6" customFormat="false" ht="14.25" hidden="false" customHeight="false" outlineLevel="0" collapsed="false">
      <c r="A6" s="1" t="s">
        <v>25</v>
      </c>
      <c r="B6" s="1" t="s">
        <v>26</v>
      </c>
      <c r="E6" s="11" t="n">
        <v>44593</v>
      </c>
      <c r="F6" s="1" t="s">
        <v>27</v>
      </c>
      <c r="G6" s="12" t="n">
        <v>54939</v>
      </c>
      <c r="H6" s="13" t="n">
        <v>22231732.35</v>
      </c>
      <c r="I6" s="21" t="n">
        <v>2990000</v>
      </c>
      <c r="J6" s="12" t="n">
        <v>271845</v>
      </c>
      <c r="K6" s="13" t="n">
        <v>14535009.72</v>
      </c>
      <c r="L6" s="15" t="n">
        <v>16144926.04</v>
      </c>
      <c r="M6" s="13" t="n">
        <v>590022.78</v>
      </c>
      <c r="N6" s="13" t="n">
        <v>22443001.66</v>
      </c>
      <c r="O6" s="13" t="n">
        <v>5157801.81</v>
      </c>
      <c r="P6" s="1" t="n">
        <v>0</v>
      </c>
      <c r="Q6" s="1" t="n">
        <v>0</v>
      </c>
      <c r="R6" s="1" t="n">
        <v>0</v>
      </c>
      <c r="S6" s="12" t="n">
        <v>7168</v>
      </c>
      <c r="T6" s="12" t="n">
        <v>6774</v>
      </c>
      <c r="U6" s="15" t="n">
        <v>277904.16</v>
      </c>
      <c r="V6" s="16" t="n">
        <f aca="false">L6/(K6+O6)</f>
        <v>0.819838549483137</v>
      </c>
      <c r="W6" s="17" t="n">
        <f aca="false">(M6/L6)*100</f>
        <v>3.65453999936689</v>
      </c>
      <c r="X6" s="18" t="n">
        <f aca="false">N6/(N6+O6)</f>
        <v>0.813128562883825</v>
      </c>
      <c r="Y6" s="18" t="n">
        <f aca="false">T6/S6</f>
        <v>0.945033482142857</v>
      </c>
    </row>
    <row r="7" customFormat="false" ht="14.25" hidden="false" customHeight="false" outlineLevel="0" collapsed="false">
      <c r="A7" s="1" t="s">
        <v>25</v>
      </c>
      <c r="B7" s="1" t="s">
        <v>26</v>
      </c>
      <c r="E7" s="11" t="n">
        <v>44562</v>
      </c>
      <c r="F7" s="1" t="s">
        <v>27</v>
      </c>
      <c r="G7" s="12" t="n">
        <v>54507</v>
      </c>
      <c r="H7" s="13" t="n">
        <v>22189279.25</v>
      </c>
      <c r="I7" s="21" t="n">
        <v>1000000</v>
      </c>
      <c r="J7" s="12" t="n">
        <v>272779</v>
      </c>
      <c r="K7" s="13" t="n">
        <v>15630586.92</v>
      </c>
      <c r="L7" s="15" t="n">
        <v>13929622.92</v>
      </c>
      <c r="M7" s="13" t="n">
        <v>564080.05</v>
      </c>
      <c r="N7" s="13" t="n">
        <v>21139905.85</v>
      </c>
      <c r="O7" s="13" t="n">
        <v>6655926.82</v>
      </c>
      <c r="P7" s="1" t="n">
        <v>0</v>
      </c>
      <c r="Q7" s="1" t="n">
        <v>0</v>
      </c>
      <c r="R7" s="1" t="n">
        <v>0</v>
      </c>
      <c r="S7" s="12" t="n">
        <v>7117</v>
      </c>
      <c r="T7" s="12" t="n">
        <v>6759</v>
      </c>
      <c r="U7" s="15" t="n">
        <v>263517.6</v>
      </c>
      <c r="V7" s="16" t="n">
        <f aca="false">L7/(K7+O7)</f>
        <v>0.6250247608265</v>
      </c>
      <c r="W7" s="17" t="n">
        <f aca="false">(M7/L7)*100</f>
        <v>4.04949978358783</v>
      </c>
      <c r="X7" s="18" t="n">
        <f aca="false">N7/(N7+O7)</f>
        <v>0.760542276282166</v>
      </c>
      <c r="Y7" s="18" t="n">
        <f aca="false">T7/S7</f>
        <v>0.949697906421245</v>
      </c>
    </row>
    <row r="8" customFormat="false" ht="14.25" hidden="false" customHeight="false" outlineLevel="0" collapsed="false">
      <c r="A8" s="1" t="s">
        <v>25</v>
      </c>
      <c r="B8" s="1" t="s">
        <v>26</v>
      </c>
      <c r="C8" s="19"/>
      <c r="E8" s="19" t="n">
        <v>44805</v>
      </c>
      <c r="F8" s="1" t="s">
        <v>27</v>
      </c>
      <c r="G8" s="12" t="n">
        <v>59423</v>
      </c>
      <c r="H8" s="13" t="n">
        <v>25261329.45</v>
      </c>
      <c r="J8" s="12" t="n">
        <v>281530</v>
      </c>
      <c r="K8" s="13" t="n">
        <v>19070585.86</v>
      </c>
      <c r="L8" s="13" t="n">
        <v>25288137.83</v>
      </c>
      <c r="M8" s="13" t="n">
        <v>554575</v>
      </c>
      <c r="N8" s="13" t="n">
        <v>27775397.07</v>
      </c>
      <c r="O8" s="13" t="n">
        <v>5376109.63</v>
      </c>
      <c r="S8" s="12" t="n">
        <v>7159</v>
      </c>
      <c r="T8" s="12" t="n">
        <v>6050</v>
      </c>
      <c r="U8" s="13"/>
      <c r="V8" s="16" t="n">
        <f aca="false">L8/(K8+O8)</f>
        <v>1.0344194715537</v>
      </c>
      <c r="W8" s="17" t="n">
        <f aca="false">(M8/L8)*100</f>
        <v>2.19302426983015</v>
      </c>
      <c r="X8" s="18" t="n">
        <f aca="false">N8/(N8+O8)</f>
        <v>0.837832117898883</v>
      </c>
      <c r="Y8" s="18" t="n">
        <f aca="false">T8/S8</f>
        <v>0.845090096382176</v>
      </c>
    </row>
    <row r="9" customFormat="false" ht="14.25" hidden="false" customHeight="false" outlineLevel="0" collapsed="false">
      <c r="A9" s="1" t="s">
        <v>25</v>
      </c>
      <c r="B9" s="1" t="s">
        <v>26</v>
      </c>
      <c r="C9" s="19"/>
      <c r="E9" s="19" t="n">
        <v>44774</v>
      </c>
      <c r="F9" s="1" t="s">
        <v>27</v>
      </c>
      <c r="G9" s="12" t="n">
        <v>59037</v>
      </c>
      <c r="H9" s="13" t="n">
        <v>25346151.6</v>
      </c>
      <c r="J9" s="12" t="n">
        <v>280669</v>
      </c>
      <c r="K9" s="13" t="n">
        <v>21521320.38</v>
      </c>
      <c r="L9" s="13" t="n">
        <v>25374954.45</v>
      </c>
      <c r="M9" s="13" t="n">
        <v>550334.8</v>
      </c>
      <c r="N9" s="13" t="n">
        <v>27513565.48</v>
      </c>
      <c r="O9" s="13" t="n">
        <v>5788026.18</v>
      </c>
      <c r="S9" s="12" t="n">
        <v>7008</v>
      </c>
      <c r="T9" s="12" t="n">
        <v>5881</v>
      </c>
      <c r="U9" s="13" t="n">
        <v>704891.73</v>
      </c>
      <c r="V9" s="16" t="n">
        <f aca="false">L9/(K9+O9)</f>
        <v>0.929167396746383</v>
      </c>
      <c r="W9" s="17" t="n">
        <f aca="false">(M9/L9)*100</f>
        <v>2.16881098677204</v>
      </c>
      <c r="X9" s="18" t="n">
        <f aca="false">N9/(N9+O9)</f>
        <v>0.826193707523228</v>
      </c>
      <c r="Y9" s="18" t="n">
        <f aca="false">T9/S9</f>
        <v>0.839183789954338</v>
      </c>
    </row>
    <row r="10" customFormat="false" ht="14.25" hidden="false" customHeight="false" outlineLevel="0" collapsed="false">
      <c r="A10" s="1" t="s">
        <v>25</v>
      </c>
      <c r="B10" s="1" t="s">
        <v>26</v>
      </c>
      <c r="C10" s="19"/>
      <c r="E10" s="19" t="n">
        <v>44835</v>
      </c>
      <c r="F10" s="1" t="s">
        <v>27</v>
      </c>
      <c r="G10" s="12" t="n">
        <v>59576</v>
      </c>
      <c r="H10" s="13" t="n">
        <v>25244587.78</v>
      </c>
      <c r="J10" s="12" t="n">
        <v>280384</v>
      </c>
      <c r="K10" s="13" t="n">
        <v>18254371.12</v>
      </c>
      <c r="L10" s="13" t="n">
        <v>25234769.33</v>
      </c>
      <c r="M10" s="22" t="n">
        <v>542221.39</v>
      </c>
      <c r="N10" s="13" t="n">
        <v>27107876.82</v>
      </c>
      <c r="O10" s="13" t="n">
        <v>5567661.16</v>
      </c>
      <c r="S10" s="12" t="n">
        <v>7299</v>
      </c>
      <c r="T10" s="12" t="n">
        <v>6192</v>
      </c>
      <c r="U10" s="13"/>
      <c r="V10" s="16" t="n">
        <f aca="false">L10/(K10+O10)</f>
        <v>1.05930380050681</v>
      </c>
      <c r="W10" s="17" t="n">
        <f aca="false">(M10/L10)*100</f>
        <v>2.14870753486693</v>
      </c>
      <c r="X10" s="18" t="n">
        <f aca="false">N10/(N10+O10)</f>
        <v>0.829607666646289</v>
      </c>
      <c r="Y10" s="18" t="n">
        <f aca="false">T10/S10</f>
        <v>0.848335388409371</v>
      </c>
    </row>
    <row r="11" customFormat="false" ht="14.25" hidden="false" customHeight="false" outlineLevel="0" collapsed="false">
      <c r="A11" s="1" t="s">
        <v>25</v>
      </c>
      <c r="B11" s="1" t="s">
        <v>26</v>
      </c>
      <c r="C11" s="19"/>
      <c r="E11" s="19" t="n">
        <v>44866</v>
      </c>
      <c r="F11" s="1" t="s">
        <v>27</v>
      </c>
      <c r="G11" s="12" t="n">
        <v>59908</v>
      </c>
      <c r="H11" s="13" t="n">
        <v>25369605.63</v>
      </c>
      <c r="J11" s="12" t="n">
        <v>276554</v>
      </c>
      <c r="K11" s="13" t="n">
        <v>20564657</v>
      </c>
      <c r="L11" s="13" t="n">
        <v>25357526.34</v>
      </c>
      <c r="M11" s="13" t="n">
        <v>536457.62</v>
      </c>
      <c r="N11" s="13" t="n">
        <v>26819710.62</v>
      </c>
      <c r="O11" s="13" t="n">
        <v>5537241.88</v>
      </c>
      <c r="S11" s="12" t="n">
        <v>7402</v>
      </c>
      <c r="T11" s="12" t="n">
        <v>6319</v>
      </c>
      <c r="U11" s="13"/>
      <c r="V11" s="16" t="n">
        <f aca="false">L11/(K11+O11)</f>
        <v>0.971482054105636</v>
      </c>
      <c r="W11" s="17" t="n">
        <f aca="false">(M11/L11)*100</f>
        <v>2.11557552107821</v>
      </c>
      <c r="X11" s="18" t="n">
        <f aca="false">N11/(N11+O11)</f>
        <v>0.82887010511883</v>
      </c>
      <c r="Y11" s="18" t="n">
        <f aca="false">T11/S11</f>
        <v>0.853688192380438</v>
      </c>
    </row>
    <row r="12" customFormat="false" ht="14.25" hidden="false" customHeight="false" outlineLevel="0" collapsed="false">
      <c r="A12" s="1" t="s">
        <v>25</v>
      </c>
      <c r="B12" s="1" t="s">
        <v>26</v>
      </c>
      <c r="C12" s="19"/>
      <c r="E12" s="19" t="n">
        <v>44682</v>
      </c>
      <c r="F12" s="1" t="s">
        <v>27</v>
      </c>
      <c r="G12" s="12" t="n">
        <v>57836</v>
      </c>
      <c r="H12" s="13" t="n">
        <v>31064560.33</v>
      </c>
      <c r="J12" s="12" t="n">
        <v>335006</v>
      </c>
      <c r="K12" s="13" t="n">
        <v>30302889.3</v>
      </c>
      <c r="L12" s="13" t="n">
        <v>31098423.3</v>
      </c>
      <c r="M12" s="13" t="n">
        <v>417063.04</v>
      </c>
      <c r="N12" s="13" t="n">
        <v>44142189.69</v>
      </c>
      <c r="O12" s="13" t="n">
        <v>6172619.87</v>
      </c>
      <c r="S12" s="12" t="n">
        <v>6500</v>
      </c>
      <c r="T12" s="12" t="n">
        <v>5134</v>
      </c>
      <c r="U12" s="13" t="n">
        <v>1104091.85</v>
      </c>
      <c r="V12" s="16" t="n">
        <f aca="false">L12/(K12+O12)</f>
        <v>0.852583665249491</v>
      </c>
      <c r="W12" s="17" t="n">
        <f aca="false">(M12/L12)*100</f>
        <v>1.34110670491774</v>
      </c>
      <c r="X12" s="18" t="n">
        <f aca="false">N12/(N12+O12)</f>
        <v>0.877320019215432</v>
      </c>
      <c r="Y12" s="18" t="n">
        <f aca="false">T12/S12</f>
        <v>0.789846153846154</v>
      </c>
    </row>
    <row r="13" customFormat="false" ht="14.25" hidden="false" customHeight="false" outlineLevel="0" collapsed="false">
      <c r="A13" s="1" t="s">
        <v>25</v>
      </c>
      <c r="B13" s="1" t="s">
        <v>26</v>
      </c>
      <c r="C13" s="19"/>
      <c r="E13" s="19" t="n">
        <v>44743</v>
      </c>
      <c r="F13" s="1" t="s">
        <v>27</v>
      </c>
      <c r="G13" s="12" t="n">
        <v>58849</v>
      </c>
      <c r="H13" s="13" t="n">
        <v>25005108.56</v>
      </c>
      <c r="J13" s="12" t="n">
        <v>293305</v>
      </c>
      <c r="K13" s="13" t="n">
        <v>21508918.7</v>
      </c>
      <c r="L13" s="13" t="n">
        <v>25037021.57</v>
      </c>
      <c r="M13" s="13" t="n">
        <v>417063.04</v>
      </c>
      <c r="N13" s="13" t="n">
        <v>20850997.91</v>
      </c>
      <c r="O13" s="13" t="n">
        <v>5183666.41</v>
      </c>
      <c r="S13" s="12" t="n">
        <v>6846</v>
      </c>
      <c r="T13" s="12" t="n">
        <v>5689</v>
      </c>
      <c r="U13" s="13" t="n">
        <v>592039.09</v>
      </c>
      <c r="V13" s="16" t="n">
        <f aca="false">L13/(K13+O13)</f>
        <v>0.937976650325271</v>
      </c>
      <c r="W13" s="17" t="n">
        <f aca="false">(M13/L13)*100</f>
        <v>1.66578536042696</v>
      </c>
      <c r="X13" s="18" t="n">
        <f aca="false">N13/(N13+O13)</f>
        <v>0.8008936721332</v>
      </c>
      <c r="Y13" s="18" t="n">
        <f aca="false">T13/S13</f>
        <v>0.830996202161846</v>
      </c>
    </row>
    <row r="14" customFormat="false" ht="14.25" hidden="false" customHeight="false" outlineLevel="0" collapsed="false">
      <c r="A14" s="1" t="s">
        <v>28</v>
      </c>
      <c r="B14" s="1" t="s">
        <v>29</v>
      </c>
      <c r="E14" s="11" t="n">
        <v>44621</v>
      </c>
      <c r="F14" s="1" t="s">
        <v>30</v>
      </c>
      <c r="G14" s="12" t="n">
        <v>32262</v>
      </c>
      <c r="H14" s="13" t="n">
        <v>28096906.05</v>
      </c>
      <c r="I14" s="23" t="n">
        <v>500000</v>
      </c>
      <c r="J14" s="12" t="n">
        <v>181901</v>
      </c>
      <c r="K14" s="13" t="n">
        <v>6017878.99</v>
      </c>
      <c r="L14" s="15" t="n">
        <v>7616758.22</v>
      </c>
      <c r="M14" s="13" t="n">
        <v>242742.32</v>
      </c>
      <c r="N14" s="13" t="n">
        <v>10198912.16</v>
      </c>
      <c r="O14" s="13" t="n">
        <v>2240324.94</v>
      </c>
      <c r="S14" s="12" t="n">
        <v>3835</v>
      </c>
      <c r="T14" s="12" t="n">
        <v>2671</v>
      </c>
      <c r="U14" s="15" t="n">
        <v>113857.96</v>
      </c>
      <c r="V14" s="16" t="n">
        <f aca="false">L14/(K14+O14)</f>
        <v>0.922326244854552</v>
      </c>
      <c r="W14" s="17" t="n">
        <f aca="false">(M14/L14)*100</f>
        <v>3.18695057646191</v>
      </c>
      <c r="X14" s="18" t="n">
        <f aca="false">N14/(N14+O14)</f>
        <v>0.819898525770523</v>
      </c>
      <c r="Y14" s="18" t="n">
        <f aca="false">T14/S14</f>
        <v>0.696479791395046</v>
      </c>
    </row>
    <row r="15" customFormat="false" ht="14.25" hidden="false" customHeight="false" outlineLevel="0" collapsed="false">
      <c r="A15" s="1" t="s">
        <v>28</v>
      </c>
      <c r="B15" s="1" t="s">
        <v>29</v>
      </c>
      <c r="C15" s="19"/>
      <c r="E15" s="19" t="n">
        <v>44866</v>
      </c>
      <c r="F15" s="1" t="s">
        <v>30</v>
      </c>
      <c r="G15" s="12" t="n">
        <v>33618</v>
      </c>
      <c r="H15" s="13" t="n">
        <v>11235712.19</v>
      </c>
      <c r="J15" s="12" t="n">
        <v>124972</v>
      </c>
      <c r="K15" s="13" t="n">
        <v>8782224.56</v>
      </c>
      <c r="L15" s="13" t="n">
        <v>22470762.19</v>
      </c>
      <c r="M15" s="13" t="n">
        <v>214752.46</v>
      </c>
      <c r="N15" s="13" t="n">
        <v>10577926.11</v>
      </c>
      <c r="O15" s="13" t="n">
        <v>1819565.68</v>
      </c>
      <c r="S15" s="12" t="n">
        <v>5345</v>
      </c>
      <c r="T15" s="12" t="n">
        <v>1849</v>
      </c>
      <c r="U15" s="13"/>
      <c r="V15" s="16" t="n">
        <f aca="false">L15/(K15+O15)</f>
        <v>2.1195252576512</v>
      </c>
      <c r="W15" s="17" t="n">
        <f aca="false">(M15/L15)*100</f>
        <v>0.95569726644862</v>
      </c>
      <c r="X15" s="18" t="n">
        <f aca="false">N15/(N15+O15)</f>
        <v>0.853231144587836</v>
      </c>
      <c r="Y15" s="18" t="n">
        <f aca="false">T15/S15</f>
        <v>0.345930776426567</v>
      </c>
    </row>
    <row r="16" customFormat="false" ht="14.25" hidden="false" customHeight="false" outlineLevel="0" collapsed="false">
      <c r="A16" s="1" t="s">
        <v>28</v>
      </c>
      <c r="B16" s="1" t="s">
        <v>29</v>
      </c>
      <c r="C16" s="19"/>
      <c r="E16" s="19" t="n">
        <v>44896</v>
      </c>
      <c r="F16" s="1" t="s">
        <v>30</v>
      </c>
      <c r="G16" s="12" t="n">
        <v>33703</v>
      </c>
      <c r="H16" s="13" t="n">
        <v>11235497.76</v>
      </c>
      <c r="J16" s="12" t="n">
        <v>124914</v>
      </c>
      <c r="K16" s="13" t="n">
        <v>8653632.18</v>
      </c>
      <c r="L16" s="13" t="n">
        <v>22470547.76</v>
      </c>
      <c r="M16" s="24" t="n">
        <v>212978.34</v>
      </c>
      <c r="N16" s="13" t="n">
        <v>10744612.17</v>
      </c>
      <c r="O16" s="13" t="n">
        <v>1306860.53</v>
      </c>
      <c r="S16" s="12" t="n">
        <v>5422</v>
      </c>
      <c r="T16" s="12" t="n">
        <v>1902</v>
      </c>
      <c r="U16" s="13"/>
      <c r="V16" s="16" t="n">
        <f aca="false">L16/(K16+O16)</f>
        <v>2.25596749219447</v>
      </c>
      <c r="W16" s="17" t="n">
        <f aca="false">(M16/L16)*100</f>
        <v>0.947811073743046</v>
      </c>
      <c r="X16" s="18" t="n">
        <f aca="false">N16/(N16+O16)</f>
        <v>0.891560097049384</v>
      </c>
      <c r="Y16" s="18" t="n">
        <f aca="false">T16/S16</f>
        <v>0.350793065289561</v>
      </c>
    </row>
    <row r="17" customFormat="false" ht="14.25" hidden="false" customHeight="false" outlineLevel="0" collapsed="false">
      <c r="A17" s="1" t="s">
        <v>28</v>
      </c>
      <c r="B17" s="1" t="s">
        <v>29</v>
      </c>
      <c r="C17" s="19"/>
      <c r="E17" s="19" t="n">
        <v>44743</v>
      </c>
      <c r="F17" s="1" t="s">
        <v>30</v>
      </c>
      <c r="G17" s="12" t="n">
        <v>33039</v>
      </c>
      <c r="H17" s="13" t="n">
        <v>11235075.7</v>
      </c>
      <c r="J17" s="12" t="n">
        <v>137294</v>
      </c>
      <c r="K17" s="13" t="n">
        <v>8386806.82</v>
      </c>
      <c r="L17" s="13" t="n">
        <v>11235075.7</v>
      </c>
      <c r="M17" s="13" t="n">
        <v>212927.96</v>
      </c>
      <c r="N17" s="13" t="n">
        <v>10653489.73</v>
      </c>
      <c r="O17" s="13" t="n">
        <v>2573055.41</v>
      </c>
      <c r="S17" s="12" t="n">
        <v>4805</v>
      </c>
      <c r="T17" s="12" t="n">
        <v>1571</v>
      </c>
      <c r="U17" s="13" t="n">
        <v>185762.58</v>
      </c>
      <c r="V17" s="16" t="n">
        <f aca="false">L17/(K17+O17)</f>
        <v>1.0251110337178</v>
      </c>
      <c r="W17" s="17" t="n">
        <f aca="false">(M17/L17)*100</f>
        <v>1.89520716803003</v>
      </c>
      <c r="X17" s="18" t="n">
        <f aca="false">N17/(N17+O17)</f>
        <v>0.805462773327064</v>
      </c>
      <c r="Y17" s="18" t="n">
        <f aca="false">T17/S17</f>
        <v>0.326951092611863</v>
      </c>
    </row>
    <row r="18" customFormat="false" ht="14.25" hidden="false" customHeight="false" outlineLevel="0" collapsed="false">
      <c r="A18" s="1" t="s">
        <v>28</v>
      </c>
      <c r="B18" s="1" t="s">
        <v>29</v>
      </c>
      <c r="C18" s="19"/>
      <c r="E18" s="19" t="n">
        <v>44805</v>
      </c>
      <c r="F18" s="1" t="s">
        <v>30</v>
      </c>
      <c r="G18" s="12" t="n">
        <v>33372</v>
      </c>
      <c r="H18" s="13" t="n">
        <v>11236098.61</v>
      </c>
      <c r="J18" s="12" t="n">
        <v>131068</v>
      </c>
      <c r="K18" s="13" t="n">
        <v>6667007.22</v>
      </c>
      <c r="L18" s="13" t="n">
        <v>11236098.61</v>
      </c>
      <c r="M18" s="13" t="n">
        <v>212725.7</v>
      </c>
      <c r="N18" s="13" t="n">
        <v>10947715.2</v>
      </c>
      <c r="O18" s="13" t="n">
        <v>1898929.67</v>
      </c>
      <c r="S18" s="12" t="n">
        <v>5121</v>
      </c>
      <c r="T18" s="12" t="n">
        <v>1718</v>
      </c>
      <c r="U18" s="13"/>
      <c r="V18" s="16" t="n">
        <f aca="false">L18/(K18+O18)</f>
        <v>1.31171858423533</v>
      </c>
      <c r="W18" s="17" t="n">
        <f aca="false">(M18/L18)*100</f>
        <v>1.89323454148646</v>
      </c>
      <c r="X18" s="18" t="n">
        <f aca="false">N18/(N18+O18)</f>
        <v>0.852184777487353</v>
      </c>
      <c r="Y18" s="18" t="n">
        <f aca="false">T18/S18</f>
        <v>0.335481351298575</v>
      </c>
    </row>
    <row r="19" customFormat="false" ht="14.25" hidden="false" customHeight="false" outlineLevel="0" collapsed="false">
      <c r="A19" s="1" t="s">
        <v>28</v>
      </c>
      <c r="B19" s="1" t="s">
        <v>29</v>
      </c>
      <c r="E19" s="11" t="n">
        <v>44652</v>
      </c>
      <c r="F19" s="1" t="s">
        <v>30</v>
      </c>
      <c r="G19" s="12" t="n">
        <v>32576</v>
      </c>
      <c r="H19" s="13" t="n">
        <v>22475100</v>
      </c>
      <c r="I19" s="23"/>
      <c r="J19" s="12" t="n">
        <v>180943</v>
      </c>
      <c r="K19" s="13" t="n">
        <v>8996992.45</v>
      </c>
      <c r="L19" s="15" t="n">
        <v>7549340.83</v>
      </c>
      <c r="M19" s="13" t="n">
        <v>211196.13</v>
      </c>
      <c r="N19" s="13" t="n">
        <v>10396814.11</v>
      </c>
      <c r="O19" s="13" t="n">
        <v>1515656.61</v>
      </c>
      <c r="S19" s="12" t="n">
        <v>4139</v>
      </c>
      <c r="T19" s="12" t="n">
        <v>2703</v>
      </c>
      <c r="U19" s="15" t="n">
        <v>117028.17</v>
      </c>
      <c r="V19" s="16" t="n">
        <f aca="false">L19/(K19+O19)</f>
        <v>0.718119741933058</v>
      </c>
      <c r="W19" s="17" t="n">
        <f aca="false">(M19/L19)*100</f>
        <v>2.79754398106834</v>
      </c>
      <c r="X19" s="18" t="n">
        <f aca="false">N19/(N19+O19)</f>
        <v>0.872767233126933</v>
      </c>
      <c r="Y19" s="18" t="n">
        <f aca="false">T19/S19</f>
        <v>0.653056293790771</v>
      </c>
    </row>
    <row r="20" customFormat="false" ht="14.25" hidden="false" customHeight="false" outlineLevel="0" collapsed="false">
      <c r="A20" s="1" t="s">
        <v>28</v>
      </c>
      <c r="B20" s="1" t="s">
        <v>29</v>
      </c>
      <c r="C20" s="19"/>
      <c r="E20" s="19" t="n">
        <v>44835</v>
      </c>
      <c r="F20" s="1" t="s">
        <v>30</v>
      </c>
      <c r="G20" s="12" t="n">
        <v>33508</v>
      </c>
      <c r="H20" s="13" t="n">
        <v>11236730.9</v>
      </c>
      <c r="J20" s="12" t="n">
        <v>130023</v>
      </c>
      <c r="K20" s="13" t="n">
        <v>8965859</v>
      </c>
      <c r="L20" s="13" t="n">
        <v>33706830.9</v>
      </c>
      <c r="M20" s="13" t="n">
        <v>210789.43</v>
      </c>
      <c r="N20" s="13" t="n">
        <v>10643989.63</v>
      </c>
      <c r="O20" s="13" t="n">
        <v>1655897.95</v>
      </c>
      <c r="S20" s="12" t="n">
        <v>5244</v>
      </c>
      <c r="T20" s="12" t="n">
        <v>1788</v>
      </c>
      <c r="U20" s="13"/>
      <c r="V20" s="16" t="n">
        <f aca="false">L20/(K20+O20)</f>
        <v>3.17337621814063</v>
      </c>
      <c r="W20" s="17" t="n">
        <f aca="false">(M20/L20)*100</f>
        <v>0.625361163810864</v>
      </c>
      <c r="X20" s="18" t="n">
        <f aca="false">N20/(N20+O20)</f>
        <v>0.865372919936883</v>
      </c>
      <c r="Y20" s="18" t="n">
        <f aca="false">T20/S20</f>
        <v>0.340961098398169</v>
      </c>
    </row>
    <row r="21" customFormat="false" ht="14.25" hidden="false" customHeight="false" outlineLevel="0" collapsed="false">
      <c r="A21" s="1" t="s">
        <v>28</v>
      </c>
      <c r="B21" s="1" t="s">
        <v>29</v>
      </c>
      <c r="C21" s="19"/>
      <c r="E21" s="19" t="n">
        <v>44682</v>
      </c>
      <c r="F21" s="1" t="s">
        <v>30</v>
      </c>
      <c r="G21" s="12" t="n">
        <v>32584</v>
      </c>
      <c r="H21" s="13" t="n">
        <v>11235050</v>
      </c>
      <c r="J21" s="12" t="n">
        <v>140456</v>
      </c>
      <c r="K21" s="13" t="n">
        <v>9212822.24</v>
      </c>
      <c r="L21" s="13" t="n">
        <v>11235050</v>
      </c>
      <c r="M21" s="13" t="n">
        <v>210362.26</v>
      </c>
      <c r="N21" s="13" t="n">
        <v>10567184.08</v>
      </c>
      <c r="O21" s="13" t="n">
        <v>1101578.06</v>
      </c>
      <c r="S21" s="12" t="n">
        <v>4369</v>
      </c>
      <c r="T21" s="12" t="n">
        <v>1363</v>
      </c>
      <c r="U21" s="13" t="n">
        <v>257736.56</v>
      </c>
      <c r="V21" s="16" t="n">
        <f aca="false">L21/(K21+O21)</f>
        <v>1.08925867459303</v>
      </c>
      <c r="W21" s="17" t="n">
        <f aca="false">(M21/L21)*100</f>
        <v>1.87237493380092</v>
      </c>
      <c r="X21" s="18" t="n">
        <f aca="false">N21/(N21+O21)</f>
        <v>0.905595979523497</v>
      </c>
      <c r="Y21" s="18" t="n">
        <f aca="false">T21/S21</f>
        <v>0.311970702677958</v>
      </c>
    </row>
    <row r="22" customFormat="false" ht="14.25" hidden="false" customHeight="false" outlineLevel="0" collapsed="false">
      <c r="A22" s="1" t="s">
        <v>28</v>
      </c>
      <c r="B22" s="1" t="s">
        <v>29</v>
      </c>
      <c r="C22" s="19"/>
      <c r="E22" s="19" t="n">
        <v>44774</v>
      </c>
      <c r="F22" s="1" t="s">
        <v>30</v>
      </c>
      <c r="G22" s="12" t="n">
        <v>33225</v>
      </c>
      <c r="H22" s="13" t="n">
        <v>11235514.68</v>
      </c>
      <c r="J22" s="12" t="n">
        <v>130687</v>
      </c>
      <c r="K22" s="13" t="n">
        <v>7773268.61</v>
      </c>
      <c r="L22" s="13" t="n">
        <v>56175714.68</v>
      </c>
      <c r="M22" s="13" t="n">
        <v>210361.46</v>
      </c>
      <c r="N22" s="13" t="n">
        <v>10655316.89</v>
      </c>
      <c r="O22" s="13" t="n">
        <v>3177704.26</v>
      </c>
      <c r="S22" s="12" t="n">
        <v>4978</v>
      </c>
      <c r="T22" s="12" t="n">
        <v>1652</v>
      </c>
      <c r="U22" s="13" t="n">
        <v>290006.13</v>
      </c>
      <c r="V22" s="16" t="n">
        <f aca="false">L22/(K22+O22)</f>
        <v>5.12974649347296</v>
      </c>
      <c r="W22" s="17" t="n">
        <f aca="false">(M22/L22)*100</f>
        <v>0.374470465036903</v>
      </c>
      <c r="X22" s="18" t="n">
        <f aca="false">N22/(N22+O22)</f>
        <v>0.770281254865283</v>
      </c>
      <c r="Y22" s="18" t="n">
        <f aca="false">T22/S22</f>
        <v>0.331860184813178</v>
      </c>
    </row>
    <row r="23" customFormat="false" ht="14.25" hidden="false" customHeight="false" outlineLevel="0" collapsed="false">
      <c r="A23" s="1" t="s">
        <v>28</v>
      </c>
      <c r="B23" s="1" t="s">
        <v>29</v>
      </c>
      <c r="E23" s="11" t="n">
        <v>44593</v>
      </c>
      <c r="F23" s="1" t="s">
        <v>30</v>
      </c>
      <c r="G23" s="12" t="n">
        <v>31871</v>
      </c>
      <c r="H23" s="13" t="n">
        <v>5626350</v>
      </c>
      <c r="I23" s="23"/>
      <c r="J23" s="12" t="n">
        <v>148533</v>
      </c>
      <c r="K23" s="13" t="n">
        <v>4321625.69</v>
      </c>
      <c r="L23" s="25" t="n">
        <v>-287860.29</v>
      </c>
      <c r="M23" s="13" t="n">
        <v>155224.98</v>
      </c>
      <c r="N23" s="13" t="n">
        <v>6686972.63</v>
      </c>
      <c r="O23" s="13" t="n">
        <v>1960217.28</v>
      </c>
      <c r="S23" s="12" t="n">
        <v>3476</v>
      </c>
      <c r="T23" s="12" t="n">
        <v>2493</v>
      </c>
      <c r="U23" s="15" t="n">
        <v>73453.23</v>
      </c>
      <c r="V23" s="16" t="n">
        <f aca="false">L23/(K23+O23)</f>
        <v>-0.0458241779322924</v>
      </c>
      <c r="W23" s="17" t="n">
        <f aca="false">(M23/L23)*100</f>
        <v>-53.9237211217984</v>
      </c>
      <c r="X23" s="18" t="n">
        <f aca="false">N23/(N23+O23)</f>
        <v>0.773311642232685</v>
      </c>
      <c r="Y23" s="18" t="n">
        <f aca="false">T23/S23</f>
        <v>0.717203682393556</v>
      </c>
    </row>
    <row r="24" customFormat="false" ht="14.25" hidden="false" customHeight="false" outlineLevel="0" collapsed="false">
      <c r="A24" s="1" t="s">
        <v>28</v>
      </c>
      <c r="B24" s="1" t="s">
        <v>29</v>
      </c>
      <c r="C24" s="19"/>
      <c r="E24" s="19" t="n">
        <v>44713</v>
      </c>
      <c r="F24" s="1" t="s">
        <v>30</v>
      </c>
      <c r="G24" s="12" t="n">
        <v>32792</v>
      </c>
      <c r="H24" s="13" t="n">
        <v>11235050</v>
      </c>
      <c r="J24" s="12" t="n">
        <v>133847</v>
      </c>
      <c r="K24" s="13" t="n">
        <v>5913322.84</v>
      </c>
      <c r="L24" s="13" t="n">
        <v>11235050</v>
      </c>
      <c r="M24" s="13" t="n">
        <v>128404.9</v>
      </c>
      <c r="N24" s="13" t="n">
        <v>10738667.47</v>
      </c>
      <c r="O24" s="13" t="n">
        <v>3999905.04</v>
      </c>
      <c r="S24" s="12" t="n">
        <v>4564</v>
      </c>
      <c r="T24" s="12" t="n">
        <v>1474</v>
      </c>
      <c r="U24" s="13" t="n">
        <v>296101.29</v>
      </c>
      <c r="V24" s="16" t="n">
        <f aca="false">L24/(K24+O24)</f>
        <v>1.13333922472082</v>
      </c>
      <c r="W24" s="17" t="n">
        <f aca="false">(M24/L24)*100</f>
        <v>1.14289567024624</v>
      </c>
      <c r="X24" s="18" t="n">
        <f aca="false">N24/(N24+O24)</f>
        <v>0.728609739017392</v>
      </c>
      <c r="Y24" s="18" t="n">
        <f aca="false">T24/S24</f>
        <v>0.32296231375986</v>
      </c>
    </row>
    <row r="25" customFormat="false" ht="14.25" hidden="false" customHeight="false" outlineLevel="0" collapsed="false">
      <c r="A25" s="1" t="s">
        <v>28</v>
      </c>
      <c r="B25" s="1" t="s">
        <v>29</v>
      </c>
      <c r="E25" s="11" t="n">
        <v>44562</v>
      </c>
      <c r="F25" s="1" t="s">
        <v>30</v>
      </c>
      <c r="G25" s="12" t="n">
        <v>26584</v>
      </c>
      <c r="H25" s="13" t="n">
        <v>14638700</v>
      </c>
      <c r="I25" s="23" t="n">
        <v>1000000</v>
      </c>
      <c r="J25" s="12" t="n">
        <v>99324</v>
      </c>
      <c r="K25" s="13" t="n">
        <v>687909.34</v>
      </c>
      <c r="L25" s="15" t="n">
        <v>5913587.44</v>
      </c>
      <c r="M25" s="13" t="n">
        <v>94586.52</v>
      </c>
      <c r="N25" s="13" t="n">
        <v>4348080.85</v>
      </c>
      <c r="O25" s="13" t="n">
        <v>70772.22</v>
      </c>
      <c r="S25" s="12" t="n">
        <v>2548</v>
      </c>
      <c r="T25" s="12" t="n">
        <v>1854</v>
      </c>
      <c r="U25" s="15" t="n">
        <v>46829.83</v>
      </c>
      <c r="V25" s="16" t="n">
        <f aca="false">L25/(K25+O25)</f>
        <v>7.79455802247257</v>
      </c>
      <c r="W25" s="17" t="n">
        <f aca="false">(M25/L25)*100</f>
        <v>1.59947782897753</v>
      </c>
      <c r="X25" s="18" t="n">
        <f aca="false">N25/(N25+O25)</f>
        <v>0.983984029593453</v>
      </c>
      <c r="Y25" s="18" t="n">
        <f aca="false">T25/S25</f>
        <v>0.727629513343799</v>
      </c>
    </row>
    <row r="26" customFormat="false" ht="14.25" hidden="false" customHeight="false" outlineLevel="0" collapsed="false">
      <c r="A26" s="1" t="s">
        <v>31</v>
      </c>
      <c r="B26" s="1" t="s">
        <v>32</v>
      </c>
      <c r="E26" s="11" t="n">
        <v>44593</v>
      </c>
      <c r="F26" s="1" t="s">
        <v>33</v>
      </c>
      <c r="G26" s="12" t="n">
        <v>70</v>
      </c>
      <c r="H26" s="13" t="n">
        <v>44259.84</v>
      </c>
      <c r="I26" s="23"/>
      <c r="J26" s="12" t="n">
        <v>105</v>
      </c>
      <c r="K26" s="13" t="n">
        <v>17889.59</v>
      </c>
      <c r="L26" s="15" t="n">
        <v>45491.9</v>
      </c>
      <c r="M26" s="13" t="n">
        <v>308.75</v>
      </c>
      <c r="N26" s="13" t="n">
        <v>494.35</v>
      </c>
      <c r="O26" s="13" t="n">
        <v>607.37</v>
      </c>
      <c r="S26" s="12" t="n">
        <v>22</v>
      </c>
      <c r="T26" s="12" t="n">
        <v>4</v>
      </c>
      <c r="U26" s="15" t="n">
        <v>271.51</v>
      </c>
      <c r="V26" s="16" t="n">
        <f aca="false">L26/(K26+O26)</f>
        <v>2.4594257650987</v>
      </c>
      <c r="W26" s="17" t="n">
        <f aca="false">(M26/L26)*100</f>
        <v>0.678692250708368</v>
      </c>
      <c r="X26" s="18" t="n">
        <f aca="false">N26/(N26+O26)</f>
        <v>0.448707475583633</v>
      </c>
      <c r="Y26" s="18" t="n">
        <f aca="false">T26/S26</f>
        <v>0.181818181818182</v>
      </c>
    </row>
    <row r="27" customFormat="false" ht="14.25" hidden="false" customHeight="false" outlineLevel="0" collapsed="false">
      <c r="A27" s="1" t="s">
        <v>31</v>
      </c>
      <c r="B27" s="1" t="s">
        <v>32</v>
      </c>
      <c r="E27" s="11" t="n">
        <v>44562</v>
      </c>
      <c r="F27" s="1" t="s">
        <v>33</v>
      </c>
      <c r="G27" s="12" t="n">
        <v>47</v>
      </c>
      <c r="H27" s="13" t="n">
        <v>16428.83</v>
      </c>
      <c r="I27" s="23"/>
      <c r="J27" s="12" t="n">
        <v>47</v>
      </c>
      <c r="K27" s="13" t="n">
        <v>8427.83</v>
      </c>
      <c r="L27" s="15" t="n">
        <v>20142.05</v>
      </c>
      <c r="M27" s="13" t="n">
        <v>169.6</v>
      </c>
      <c r="N27" s="13" t="n">
        <v>21</v>
      </c>
      <c r="O27" s="13" t="n">
        <v>6281.47</v>
      </c>
      <c r="S27" s="12" t="n">
        <v>21</v>
      </c>
      <c r="T27" s="12" t="n">
        <v>2</v>
      </c>
      <c r="U27" s="15" t="n">
        <v>181.79</v>
      </c>
      <c r="V27" s="16" t="n">
        <f aca="false">L27/(K27+O27)</f>
        <v>1.36934116511323</v>
      </c>
      <c r="W27" s="17" t="n">
        <f aca="false">(M27/L27)*100</f>
        <v>0.84201955610278</v>
      </c>
      <c r="X27" s="18" t="n">
        <f aca="false">N27/(N27+O27)</f>
        <v>0.00333202696720492</v>
      </c>
      <c r="Y27" s="18" t="n">
        <f aca="false">T27/S27</f>
        <v>0.0952380952380952</v>
      </c>
    </row>
    <row r="28" customFormat="false" ht="14.25" hidden="false" customHeight="false" outlineLevel="0" collapsed="false">
      <c r="A28" s="1" t="s">
        <v>31</v>
      </c>
      <c r="B28" s="1" t="s">
        <v>32</v>
      </c>
      <c r="E28" s="11" t="n">
        <v>44621</v>
      </c>
      <c r="F28" s="1" t="s">
        <v>33</v>
      </c>
      <c r="G28" s="12" t="n">
        <v>74</v>
      </c>
      <c r="H28" s="13" t="n">
        <v>68946.1</v>
      </c>
      <c r="I28" s="23"/>
      <c r="J28" s="12" t="n">
        <v>58</v>
      </c>
      <c r="K28" s="13" t="n">
        <v>6993.56</v>
      </c>
      <c r="L28" s="15" t="n">
        <v>58169.77</v>
      </c>
      <c r="M28" s="13" t="n">
        <v>145.55</v>
      </c>
      <c r="N28" s="13" t="n">
        <v>282.57</v>
      </c>
      <c r="O28" s="13" t="n">
        <v>2152.85</v>
      </c>
      <c r="S28" s="12" t="n">
        <v>22</v>
      </c>
      <c r="T28" s="12" t="n">
        <v>5</v>
      </c>
      <c r="U28" s="15" t="n">
        <v>190.23</v>
      </c>
      <c r="V28" s="16" t="n">
        <f aca="false">L28/(K28+O28)</f>
        <v>6.35984719687834</v>
      </c>
      <c r="W28" s="17" t="n">
        <f aca="false">(M28/L28)*100</f>
        <v>0.250215876734599</v>
      </c>
      <c r="X28" s="18" t="n">
        <f aca="false">N28/(N28+O28)</f>
        <v>0.116025161984381</v>
      </c>
      <c r="Y28" s="18" t="n">
        <f aca="false">T28/S28</f>
        <v>0.227272727272727</v>
      </c>
    </row>
    <row r="29" customFormat="false" ht="14.25" hidden="false" customHeight="false" outlineLevel="0" collapsed="false">
      <c r="A29" s="1" t="s">
        <v>31</v>
      </c>
      <c r="B29" s="1" t="s">
        <v>32</v>
      </c>
      <c r="C29" s="19"/>
      <c r="E29" s="19" t="n">
        <v>44896</v>
      </c>
      <c r="F29" s="1" t="s">
        <v>33</v>
      </c>
      <c r="G29" s="12" t="n">
        <v>100</v>
      </c>
      <c r="H29" s="13" t="n">
        <v>88104.2</v>
      </c>
      <c r="J29" s="12" t="n">
        <v>21</v>
      </c>
      <c r="K29" s="13" t="n">
        <v>11566.83</v>
      </c>
      <c r="L29" s="13" t="n">
        <v>88104.2</v>
      </c>
      <c r="M29" s="24" t="n">
        <v>143</v>
      </c>
      <c r="N29" s="13" t="n">
        <v>13842.72</v>
      </c>
      <c r="O29" s="13" t="n">
        <v>2756</v>
      </c>
      <c r="S29" s="12" t="n">
        <v>25</v>
      </c>
      <c r="T29" s="12" t="n">
        <v>14</v>
      </c>
      <c r="U29" s="13"/>
      <c r="V29" s="16" t="n">
        <f aca="false">L29/(K29+O29)</f>
        <v>6.15131227557682</v>
      </c>
      <c r="W29" s="17" t="n">
        <f aca="false">(M29/L29)*100</f>
        <v>0.162307812794396</v>
      </c>
      <c r="X29" s="18" t="n">
        <f aca="false">N29/(N29+O29)</f>
        <v>0.833963100769216</v>
      </c>
      <c r="Y29" s="18" t="n">
        <f aca="false">T29/S29</f>
        <v>0.56</v>
      </c>
    </row>
    <row r="30" customFormat="false" ht="14.25" hidden="false" customHeight="false" outlineLevel="0" collapsed="false">
      <c r="A30" s="1" t="s">
        <v>31</v>
      </c>
      <c r="B30" s="1" t="s">
        <v>32</v>
      </c>
      <c r="C30" s="19"/>
      <c r="E30" s="19" t="n">
        <v>44835</v>
      </c>
      <c r="F30" s="1" t="s">
        <v>33</v>
      </c>
      <c r="G30" s="12" t="n">
        <v>100</v>
      </c>
      <c r="H30" s="13" t="n">
        <v>3202.51</v>
      </c>
      <c r="J30" s="12" t="n">
        <v>13</v>
      </c>
      <c r="K30" s="13" t="n">
        <v>5689.29</v>
      </c>
      <c r="L30" s="13" t="n">
        <v>3202.51</v>
      </c>
      <c r="M30" s="13" t="n">
        <v>92.27</v>
      </c>
      <c r="N30" s="13" t="n">
        <v>6623.95</v>
      </c>
      <c r="O30" s="15" t="n">
        <v>0</v>
      </c>
      <c r="S30" s="12" t="n">
        <v>25</v>
      </c>
      <c r="T30" s="12" t="n">
        <v>14</v>
      </c>
      <c r="U30" s="13"/>
      <c r="V30" s="16" t="n">
        <f aca="false">L30/(K30+O30)</f>
        <v>0.562901521982532</v>
      </c>
      <c r="W30" s="17" t="n">
        <f aca="false">(M30/L30)*100</f>
        <v>2.88117757633856</v>
      </c>
      <c r="X30" s="18" t="n">
        <f aca="false">N30/(N30+O30)</f>
        <v>1</v>
      </c>
      <c r="Y30" s="18" t="n">
        <f aca="false">T30/S30</f>
        <v>0.56</v>
      </c>
    </row>
    <row r="31" customFormat="false" ht="14.25" hidden="false" customHeight="false" outlineLevel="0" collapsed="false">
      <c r="A31" s="1" t="s">
        <v>31</v>
      </c>
      <c r="B31" s="1" t="s">
        <v>32</v>
      </c>
      <c r="E31" s="11" t="n">
        <v>44652</v>
      </c>
      <c r="F31" s="1" t="s">
        <v>33</v>
      </c>
      <c r="G31" s="12" t="n">
        <v>76</v>
      </c>
      <c r="H31" s="13" t="n">
        <v>16224.31</v>
      </c>
      <c r="I31" s="23"/>
      <c r="J31" s="12" t="n">
        <v>83</v>
      </c>
      <c r="K31" s="13" t="n">
        <v>14824.35</v>
      </c>
      <c r="L31" s="15" t="n">
        <v>44388.39</v>
      </c>
      <c r="M31" s="13" t="n">
        <v>85.84</v>
      </c>
      <c r="N31" s="13" t="n">
        <v>694.43</v>
      </c>
      <c r="O31" s="13" t="n">
        <v>2430.01</v>
      </c>
      <c r="S31" s="12" t="n">
        <v>23</v>
      </c>
      <c r="T31" s="12" t="n">
        <v>4</v>
      </c>
      <c r="U31" s="15" t="n">
        <v>208.25</v>
      </c>
      <c r="V31" s="16" t="n">
        <f aca="false">L31/(K31+O31)</f>
        <v>2.57258976861501</v>
      </c>
      <c r="W31" s="17" t="n">
        <f aca="false">(M31/L31)*100</f>
        <v>0.193383900610047</v>
      </c>
      <c r="X31" s="18" t="n">
        <f aca="false">N31/(N31+O31)</f>
        <v>0.222257428531193</v>
      </c>
      <c r="Y31" s="18" t="n">
        <f aca="false">T31/S31</f>
        <v>0.173913043478261</v>
      </c>
    </row>
    <row r="32" customFormat="false" ht="14.25" hidden="false" customHeight="false" outlineLevel="0" collapsed="false">
      <c r="A32" s="1" t="s">
        <v>31</v>
      </c>
      <c r="B32" s="1" t="s">
        <v>32</v>
      </c>
      <c r="C32" s="19"/>
      <c r="E32" s="19" t="n">
        <v>44682</v>
      </c>
      <c r="F32" s="1" t="s">
        <v>33</v>
      </c>
      <c r="G32" s="12" t="n">
        <v>89</v>
      </c>
      <c r="H32" s="13" t="n">
        <v>31390.33</v>
      </c>
      <c r="J32" s="12" t="n">
        <v>37</v>
      </c>
      <c r="K32" s="13" t="n">
        <v>27302.13</v>
      </c>
      <c r="L32" s="13" t="n">
        <v>31390.33</v>
      </c>
      <c r="M32" s="13" t="n">
        <v>72.31</v>
      </c>
      <c r="N32" s="13" t="n">
        <v>29252.19</v>
      </c>
      <c r="O32" s="13" t="n">
        <v>3617.8</v>
      </c>
      <c r="S32" s="12" t="n">
        <v>24</v>
      </c>
      <c r="T32" s="12" t="n">
        <v>9</v>
      </c>
      <c r="U32" s="13" t="n">
        <v>369.37</v>
      </c>
      <c r="V32" s="16" t="n">
        <f aca="false">L32/(K32+O32)</f>
        <v>1.01521348851695</v>
      </c>
      <c r="W32" s="17" t="n">
        <f aca="false">(M32/L32)*100</f>
        <v>0.230357565530531</v>
      </c>
      <c r="X32" s="18" t="n">
        <f aca="false">N32/(N32+O32)</f>
        <v>0.889936078471579</v>
      </c>
      <c r="Y32" s="18" t="n">
        <f aca="false">T32/S32</f>
        <v>0.375</v>
      </c>
    </row>
    <row r="33" customFormat="false" ht="14.25" hidden="false" customHeight="false" outlineLevel="0" collapsed="false">
      <c r="A33" s="1" t="s">
        <v>31</v>
      </c>
      <c r="B33" s="1" t="s">
        <v>32</v>
      </c>
      <c r="C33" s="19"/>
      <c r="E33" s="19" t="n">
        <v>44713</v>
      </c>
      <c r="F33" s="1" t="s">
        <v>33</v>
      </c>
      <c r="G33" s="12" t="n">
        <v>89</v>
      </c>
      <c r="H33" s="13" t="n">
        <v>18399.85</v>
      </c>
      <c r="J33" s="12" t="n">
        <v>35</v>
      </c>
      <c r="K33" s="13" t="n">
        <v>13386.07</v>
      </c>
      <c r="L33" s="13" t="n">
        <v>18399.85</v>
      </c>
      <c r="M33" s="13" t="n">
        <v>68.57</v>
      </c>
      <c r="N33" s="13" t="n">
        <v>15914.99</v>
      </c>
      <c r="O33" s="15" t="n">
        <v>0</v>
      </c>
      <c r="S33" s="12" t="n">
        <v>24</v>
      </c>
      <c r="T33" s="12" t="n">
        <v>12</v>
      </c>
      <c r="U33" s="13" t="n">
        <v>251.07</v>
      </c>
      <c r="V33" s="16" t="n">
        <f aca="false">L33/(K33+O33)</f>
        <v>1.3745520529924</v>
      </c>
      <c r="W33" s="17" t="n">
        <f aca="false">(M33/L33)*100</f>
        <v>0.372666081516969</v>
      </c>
      <c r="X33" s="18" t="n">
        <f aca="false">N33/(N33+O33)</f>
        <v>1</v>
      </c>
      <c r="Y33" s="18" t="n">
        <f aca="false">T33/S33</f>
        <v>0.5</v>
      </c>
    </row>
    <row r="34" customFormat="false" ht="14.25" hidden="false" customHeight="false" outlineLevel="0" collapsed="false">
      <c r="A34" s="1" t="s">
        <v>31</v>
      </c>
      <c r="B34" s="1" t="s">
        <v>32</v>
      </c>
      <c r="C34" s="19"/>
      <c r="E34" s="19" t="n">
        <v>44866</v>
      </c>
      <c r="F34" s="1" t="s">
        <v>33</v>
      </c>
      <c r="G34" s="12" t="n">
        <v>100</v>
      </c>
      <c r="H34" s="13" t="n">
        <v>14787.23</v>
      </c>
      <c r="J34" s="12" t="n">
        <v>26</v>
      </c>
      <c r="K34" s="13" t="n">
        <v>16786.59</v>
      </c>
      <c r="L34" s="13" t="n">
        <v>14787.23</v>
      </c>
      <c r="M34" s="13" t="n">
        <v>61.31</v>
      </c>
      <c r="N34" s="13" t="n">
        <v>19713.35</v>
      </c>
      <c r="O34" s="13" t="n">
        <v>860.73</v>
      </c>
      <c r="S34" s="12" t="n">
        <v>25</v>
      </c>
      <c r="T34" s="12" t="n">
        <v>14</v>
      </c>
      <c r="U34" s="13"/>
      <c r="V34" s="16" t="n">
        <f aca="false">L34/(K34+O34)</f>
        <v>0.83793063195998</v>
      </c>
      <c r="W34" s="17" t="n">
        <f aca="false">(M34/L34)*100</f>
        <v>0.414614501837058</v>
      </c>
      <c r="X34" s="18" t="n">
        <f aca="false">N34/(N34+O34)</f>
        <v>0.958164350483715</v>
      </c>
      <c r="Y34" s="18" t="n">
        <f aca="false">T34/S34</f>
        <v>0.56</v>
      </c>
    </row>
    <row r="35" customFormat="false" ht="14.25" hidden="false" customHeight="false" outlineLevel="0" collapsed="false">
      <c r="A35" s="1" t="s">
        <v>31</v>
      </c>
      <c r="B35" s="1" t="s">
        <v>32</v>
      </c>
      <c r="C35" s="19"/>
      <c r="E35" s="19" t="n">
        <v>44743</v>
      </c>
      <c r="F35" s="1" t="s">
        <v>33</v>
      </c>
      <c r="G35" s="12" t="n">
        <v>95</v>
      </c>
      <c r="H35" s="13" t="n">
        <v>23433.48</v>
      </c>
      <c r="J35" s="12" t="n">
        <v>42</v>
      </c>
      <c r="K35" s="13" t="n">
        <v>10969.2</v>
      </c>
      <c r="L35" s="13" t="n">
        <v>23433.48</v>
      </c>
      <c r="M35" s="13" t="n">
        <v>41.42</v>
      </c>
      <c r="N35" s="13" t="n">
        <v>20395.43</v>
      </c>
      <c r="O35" s="13" t="n">
        <v>6308.59</v>
      </c>
      <c r="S35" s="12" t="n">
        <v>24</v>
      </c>
      <c r="T35" s="12" t="n">
        <v>14</v>
      </c>
      <c r="U35" s="13" t="n">
        <v>239.47</v>
      </c>
      <c r="V35" s="16" t="n">
        <f aca="false">L35/(K35+O35)</f>
        <v>1.35627762578432</v>
      </c>
      <c r="W35" s="17" t="n">
        <f aca="false">(M35/L35)*100</f>
        <v>0.176755650462501</v>
      </c>
      <c r="X35" s="18" t="n">
        <f aca="false">N35/(N35+O35)</f>
        <v>0.763758789875083</v>
      </c>
      <c r="Y35" s="18" t="n">
        <f aca="false">T35/S35</f>
        <v>0.583333333333333</v>
      </c>
    </row>
    <row r="36" customFormat="false" ht="14.25" hidden="false" customHeight="false" outlineLevel="0" collapsed="false">
      <c r="A36" s="1" t="s">
        <v>31</v>
      </c>
      <c r="B36" s="1" t="s">
        <v>32</v>
      </c>
      <c r="C36" s="19"/>
      <c r="E36" s="19" t="n">
        <v>44805</v>
      </c>
      <c r="F36" s="1" t="s">
        <v>33</v>
      </c>
      <c r="G36" s="12" t="n">
        <v>99</v>
      </c>
      <c r="H36" s="13" t="n">
        <v>86611</v>
      </c>
      <c r="J36" s="12" t="n">
        <v>32</v>
      </c>
      <c r="K36" s="13" t="n">
        <v>13607.6</v>
      </c>
      <c r="L36" s="13" t="n">
        <v>86611</v>
      </c>
      <c r="M36" s="13" t="n">
        <v>17.58</v>
      </c>
      <c r="N36" s="13" t="n">
        <v>18302.12</v>
      </c>
      <c r="O36" s="13" t="n">
        <v>2815.93</v>
      </c>
      <c r="S36" s="12" t="n">
        <v>24</v>
      </c>
      <c r="T36" s="12" t="n">
        <v>14</v>
      </c>
      <c r="U36" s="13"/>
      <c r="V36" s="16" t="n">
        <f aca="false">L36/(K36+O36)</f>
        <v>5.27359221799455</v>
      </c>
      <c r="W36" s="17" t="n">
        <f aca="false">(M36/L36)*100</f>
        <v>0.0202976527230952</v>
      </c>
      <c r="X36" s="18" t="n">
        <f aca="false">N36/(N36+O36)</f>
        <v>0.866657669623853</v>
      </c>
      <c r="Y36" s="18" t="n">
        <f aca="false">T36/S36</f>
        <v>0.583333333333333</v>
      </c>
    </row>
    <row r="37" customFormat="false" ht="14.25" hidden="false" customHeight="false" outlineLevel="0" collapsed="false">
      <c r="A37" s="1" t="s">
        <v>31</v>
      </c>
      <c r="B37" s="1" t="s">
        <v>32</v>
      </c>
      <c r="C37" s="19"/>
      <c r="E37" s="19" t="n">
        <v>44774</v>
      </c>
      <c r="F37" s="1" t="s">
        <v>33</v>
      </c>
      <c r="G37" s="12" t="n">
        <v>95</v>
      </c>
      <c r="H37" s="13" t="n">
        <v>16375.65</v>
      </c>
      <c r="J37" s="12" t="n">
        <v>22</v>
      </c>
      <c r="K37" s="13" t="n">
        <v>15332.93</v>
      </c>
      <c r="L37" s="13" t="n">
        <v>16375.65</v>
      </c>
      <c r="M37" s="13" t="n">
        <v>8.57</v>
      </c>
      <c r="N37" s="13" t="n">
        <v>14621.18</v>
      </c>
      <c r="O37" s="13" t="n">
        <v>3179.26</v>
      </c>
      <c r="S37" s="12" t="n">
        <v>24</v>
      </c>
      <c r="T37" s="12" t="n">
        <v>14</v>
      </c>
      <c r="U37" s="13"/>
      <c r="V37" s="16" t="n">
        <f aca="false">L37/(K37+O37)</f>
        <v>0.884587398897699</v>
      </c>
      <c r="W37" s="17" t="n">
        <f aca="false">(M37/L37)*100</f>
        <v>0.0523338004903622</v>
      </c>
      <c r="X37" s="18" t="n">
        <f aca="false">N37/(N37+O37)</f>
        <v>0.821394302612744</v>
      </c>
      <c r="Y37" s="18" t="n">
        <f aca="false">T37/S37</f>
        <v>0.583333333333333</v>
      </c>
    </row>
    <row r="38" customFormat="false" ht="14.25" hidden="false" customHeight="false" outlineLevel="0" collapsed="false">
      <c r="A38" s="1" t="s">
        <v>25</v>
      </c>
      <c r="B38" s="1" t="s">
        <v>26</v>
      </c>
      <c r="E38" s="26" t="n">
        <v>44562</v>
      </c>
      <c r="F38" s="27" t="s">
        <v>27</v>
      </c>
      <c r="Q38" s="27" t="n">
        <v>27590.02</v>
      </c>
    </row>
    <row r="39" customFormat="false" ht="14.25" hidden="false" customHeight="false" outlineLevel="0" collapsed="false">
      <c r="A39" s="1" t="s">
        <v>25</v>
      </c>
      <c r="B39" s="1" t="s">
        <v>26</v>
      </c>
      <c r="E39" s="28" t="n">
        <v>44593</v>
      </c>
      <c r="F39" s="27" t="s">
        <v>27</v>
      </c>
      <c r="Q39" s="27" t="n">
        <v>27590.02</v>
      </c>
    </row>
    <row r="40" customFormat="false" ht="14.25" hidden="false" customHeight="false" outlineLevel="0" collapsed="false">
      <c r="A40" s="1" t="s">
        <v>25</v>
      </c>
      <c r="B40" s="1" t="s">
        <v>26</v>
      </c>
      <c r="E40" s="26" t="n">
        <v>44621</v>
      </c>
      <c r="F40" s="27" t="s">
        <v>27</v>
      </c>
      <c r="Q40" s="27" t="n">
        <v>27590.02</v>
      </c>
    </row>
    <row r="41" customFormat="false" ht="14.25" hidden="false" customHeight="false" outlineLevel="0" collapsed="false">
      <c r="A41" s="1" t="s">
        <v>25</v>
      </c>
      <c r="B41" s="1" t="s">
        <v>26</v>
      </c>
      <c r="E41" s="26" t="n">
        <v>44652</v>
      </c>
      <c r="F41" s="27" t="s">
        <v>27</v>
      </c>
      <c r="Q41" s="27" t="n">
        <v>27590.02</v>
      </c>
    </row>
    <row r="42" customFormat="false" ht="14.25" hidden="false" customHeight="false" outlineLevel="0" collapsed="false">
      <c r="A42" s="1" t="s">
        <v>25</v>
      </c>
      <c r="B42" s="1" t="s">
        <v>26</v>
      </c>
      <c r="E42" s="28" t="n">
        <v>44682</v>
      </c>
      <c r="F42" s="27" t="s">
        <v>27</v>
      </c>
      <c r="Q42" s="27" t="n">
        <v>27590.02</v>
      </c>
    </row>
    <row r="43" customFormat="false" ht="14.25" hidden="false" customHeight="false" outlineLevel="0" collapsed="false">
      <c r="A43" s="1" t="s">
        <v>25</v>
      </c>
      <c r="B43" s="1" t="s">
        <v>26</v>
      </c>
      <c r="E43" s="26" t="n">
        <v>44713</v>
      </c>
      <c r="F43" s="27" t="s">
        <v>27</v>
      </c>
      <c r="Q43" s="27" t="n">
        <v>27590.02</v>
      </c>
    </row>
    <row r="44" customFormat="false" ht="14.25" hidden="false" customHeight="false" outlineLevel="0" collapsed="false">
      <c r="A44" s="1" t="s">
        <v>25</v>
      </c>
      <c r="B44" s="1" t="s">
        <v>26</v>
      </c>
      <c r="E44" s="26" t="n">
        <v>44743</v>
      </c>
      <c r="F44" s="27" t="s">
        <v>27</v>
      </c>
      <c r="Q44" s="27" t="n">
        <v>27590.02</v>
      </c>
    </row>
    <row r="45" customFormat="false" ht="14.25" hidden="false" customHeight="false" outlineLevel="0" collapsed="false">
      <c r="A45" s="1" t="s">
        <v>25</v>
      </c>
      <c r="B45" s="1" t="s">
        <v>26</v>
      </c>
      <c r="E45" s="28" t="n">
        <v>44774</v>
      </c>
      <c r="F45" s="27" t="s">
        <v>27</v>
      </c>
      <c r="Q45" s="27" t="n">
        <v>27590.02</v>
      </c>
    </row>
    <row r="46" customFormat="false" ht="14.25" hidden="false" customHeight="false" outlineLevel="0" collapsed="false">
      <c r="A46" s="1" t="s">
        <v>25</v>
      </c>
      <c r="B46" s="1" t="s">
        <v>26</v>
      </c>
      <c r="E46" s="26" t="n">
        <v>44805</v>
      </c>
      <c r="F46" s="27" t="s">
        <v>27</v>
      </c>
      <c r="Q46" s="27" t="n">
        <v>27590.02</v>
      </c>
    </row>
    <row r="47" customFormat="false" ht="14.25" hidden="false" customHeight="false" outlineLevel="0" collapsed="false">
      <c r="A47" s="1" t="s">
        <v>25</v>
      </c>
      <c r="B47" s="1" t="s">
        <v>26</v>
      </c>
      <c r="E47" s="26" t="n">
        <v>44835</v>
      </c>
      <c r="F47" s="27" t="s">
        <v>27</v>
      </c>
      <c r="Q47" s="27" t="n">
        <v>27590.02</v>
      </c>
    </row>
    <row r="48" customFormat="false" ht="14.25" hidden="false" customHeight="false" outlineLevel="0" collapsed="false">
      <c r="A48" s="1" t="s">
        <v>25</v>
      </c>
      <c r="B48" s="1" t="s">
        <v>26</v>
      </c>
      <c r="E48" s="28" t="n">
        <v>44866</v>
      </c>
      <c r="F48" s="27" t="s">
        <v>27</v>
      </c>
      <c r="Q48" s="27" t="n">
        <v>27590.02</v>
      </c>
    </row>
    <row r="49" customFormat="false" ht="14.25" hidden="false" customHeight="false" outlineLevel="0" collapsed="false">
      <c r="A49" s="1" t="s">
        <v>25</v>
      </c>
      <c r="B49" s="1" t="s">
        <v>26</v>
      </c>
      <c r="E49" s="26" t="n">
        <v>44896</v>
      </c>
      <c r="F49" s="27" t="s">
        <v>27</v>
      </c>
      <c r="Q49" s="27" t="n">
        <v>27590.02</v>
      </c>
    </row>
    <row r="50" customFormat="false" ht="14.25" hidden="false" customHeight="false" outlineLevel="0" collapsed="false">
      <c r="A50" s="27" t="s">
        <v>31</v>
      </c>
      <c r="B50" s="27" t="s">
        <v>32</v>
      </c>
      <c r="E50" s="26" t="n">
        <v>44562</v>
      </c>
      <c r="F50" s="27" t="s">
        <v>33</v>
      </c>
      <c r="Q50" s="27" t="n">
        <v>11262.5</v>
      </c>
    </row>
    <row r="51" customFormat="false" ht="14.25" hidden="false" customHeight="false" outlineLevel="0" collapsed="false">
      <c r="A51" s="27" t="s">
        <v>31</v>
      </c>
      <c r="B51" s="27" t="s">
        <v>32</v>
      </c>
      <c r="E51" s="28" t="n">
        <v>44593</v>
      </c>
      <c r="F51" s="27" t="s">
        <v>33</v>
      </c>
      <c r="Q51" s="27" t="n">
        <v>11262.5</v>
      </c>
    </row>
    <row r="52" customFormat="false" ht="14.25" hidden="false" customHeight="false" outlineLevel="0" collapsed="false">
      <c r="A52" s="27" t="s">
        <v>31</v>
      </c>
      <c r="B52" s="27" t="s">
        <v>32</v>
      </c>
      <c r="E52" s="26" t="n">
        <v>44621</v>
      </c>
      <c r="F52" s="27" t="s">
        <v>33</v>
      </c>
      <c r="Q52" s="27" t="n">
        <v>11262.5</v>
      </c>
    </row>
    <row r="53" customFormat="false" ht="14.25" hidden="false" customHeight="false" outlineLevel="0" collapsed="false">
      <c r="A53" s="27" t="s">
        <v>31</v>
      </c>
      <c r="B53" s="27" t="s">
        <v>32</v>
      </c>
      <c r="E53" s="26" t="n">
        <v>44652</v>
      </c>
      <c r="F53" s="27" t="s">
        <v>33</v>
      </c>
      <c r="Q53" s="27" t="n">
        <v>11262.5</v>
      </c>
    </row>
    <row r="54" customFormat="false" ht="14.25" hidden="false" customHeight="false" outlineLevel="0" collapsed="false">
      <c r="A54" s="27" t="s">
        <v>31</v>
      </c>
      <c r="B54" s="27" t="s">
        <v>32</v>
      </c>
      <c r="E54" s="28" t="n">
        <v>44682</v>
      </c>
      <c r="F54" s="27" t="s">
        <v>33</v>
      </c>
      <c r="Q54" s="27" t="n">
        <v>11262.5</v>
      </c>
    </row>
    <row r="55" customFormat="false" ht="14.25" hidden="false" customHeight="false" outlineLevel="0" collapsed="false">
      <c r="A55" s="27" t="s">
        <v>31</v>
      </c>
      <c r="B55" s="27" t="s">
        <v>32</v>
      </c>
      <c r="E55" s="26" t="n">
        <v>44713</v>
      </c>
      <c r="F55" s="27" t="s">
        <v>33</v>
      </c>
      <c r="Q55" s="27" t="n">
        <v>11262.5</v>
      </c>
    </row>
    <row r="56" customFormat="false" ht="14.25" hidden="false" customHeight="false" outlineLevel="0" collapsed="false">
      <c r="A56" s="27" t="s">
        <v>31</v>
      </c>
      <c r="B56" s="27" t="s">
        <v>32</v>
      </c>
      <c r="E56" s="26" t="n">
        <v>44743</v>
      </c>
      <c r="F56" s="27" t="s">
        <v>33</v>
      </c>
      <c r="Q56" s="27" t="n">
        <v>11262.5</v>
      </c>
    </row>
    <row r="57" customFormat="false" ht="14.25" hidden="false" customHeight="false" outlineLevel="0" collapsed="false">
      <c r="A57" s="27" t="s">
        <v>31</v>
      </c>
      <c r="B57" s="27" t="s">
        <v>32</v>
      </c>
      <c r="E57" s="28" t="n">
        <v>44774</v>
      </c>
      <c r="F57" s="27" t="s">
        <v>33</v>
      </c>
      <c r="Q57" s="27" t="n">
        <v>11262.5</v>
      </c>
    </row>
    <row r="58" customFormat="false" ht="14.25" hidden="false" customHeight="false" outlineLevel="0" collapsed="false">
      <c r="A58" s="27" t="s">
        <v>31</v>
      </c>
      <c r="B58" s="27" t="s">
        <v>32</v>
      </c>
      <c r="E58" s="26" t="n">
        <v>44805</v>
      </c>
      <c r="F58" s="27" t="s">
        <v>33</v>
      </c>
      <c r="Q58" s="27" t="n">
        <v>11262.5</v>
      </c>
    </row>
    <row r="59" customFormat="false" ht="14.25" hidden="false" customHeight="false" outlineLevel="0" collapsed="false">
      <c r="A59" s="27" t="s">
        <v>31</v>
      </c>
      <c r="B59" s="27" t="s">
        <v>32</v>
      </c>
      <c r="E59" s="26" t="n">
        <v>44835</v>
      </c>
      <c r="F59" s="27" t="s">
        <v>33</v>
      </c>
      <c r="Q59" s="27" t="n">
        <v>11262.5</v>
      </c>
    </row>
    <row r="60" customFormat="false" ht="14.25" hidden="false" customHeight="false" outlineLevel="0" collapsed="false">
      <c r="A60" s="27" t="s">
        <v>31</v>
      </c>
      <c r="B60" s="27" t="s">
        <v>32</v>
      </c>
      <c r="E60" s="28" t="n">
        <v>44866</v>
      </c>
      <c r="F60" s="27" t="s">
        <v>33</v>
      </c>
      <c r="Q60" s="27" t="n">
        <v>11262.5</v>
      </c>
    </row>
    <row r="61" customFormat="false" ht="14.25" hidden="false" customHeight="false" outlineLevel="0" collapsed="false">
      <c r="A61" s="27" t="s">
        <v>31</v>
      </c>
      <c r="B61" s="27" t="s">
        <v>32</v>
      </c>
      <c r="E61" s="26" t="n">
        <v>44896</v>
      </c>
      <c r="F61" s="27" t="s">
        <v>33</v>
      </c>
      <c r="Q61" s="27" t="n">
        <v>11262.5</v>
      </c>
    </row>
    <row r="62" customFormat="false" ht="14.25" hidden="false" customHeight="false" outlineLevel="0" collapsed="false">
      <c r="A62" s="27" t="s">
        <v>31</v>
      </c>
      <c r="B62" s="27" t="s">
        <v>32</v>
      </c>
      <c r="E62" s="26" t="n">
        <v>44927</v>
      </c>
      <c r="F62" s="27" t="s">
        <v>33</v>
      </c>
      <c r="Q62" s="27" t="n">
        <v>11716.67</v>
      </c>
    </row>
    <row r="63" customFormat="false" ht="14.25" hidden="false" customHeight="false" outlineLevel="0" collapsed="false">
      <c r="A63" s="27" t="s">
        <v>31</v>
      </c>
      <c r="B63" s="27" t="s">
        <v>32</v>
      </c>
      <c r="E63" s="26" t="n">
        <v>44958</v>
      </c>
      <c r="F63" s="27" t="s">
        <v>33</v>
      </c>
      <c r="Q63" s="27" t="n">
        <v>11716.67</v>
      </c>
    </row>
    <row r="64" customFormat="false" ht="14.25" hidden="false" customHeight="false" outlineLevel="0" collapsed="false">
      <c r="A64" s="27" t="s">
        <v>31</v>
      </c>
      <c r="B64" s="27" t="s">
        <v>32</v>
      </c>
      <c r="E64" s="26" t="n">
        <v>44986</v>
      </c>
      <c r="F64" s="27" t="s">
        <v>33</v>
      </c>
      <c r="Q64" s="27" t="n">
        <v>11716.67</v>
      </c>
    </row>
    <row r="65" customFormat="false" ht="14.25" hidden="false" customHeight="false" outlineLevel="0" collapsed="false">
      <c r="A65" s="27" t="s">
        <v>31</v>
      </c>
      <c r="B65" s="27" t="s">
        <v>32</v>
      </c>
      <c r="E65" s="26" t="n">
        <v>45017</v>
      </c>
      <c r="F65" s="27" t="s">
        <v>33</v>
      </c>
      <c r="Q65" s="27" t="n">
        <v>11716.67</v>
      </c>
    </row>
    <row r="66" customFormat="false" ht="14.25" hidden="false" customHeight="false" outlineLevel="0" collapsed="false">
      <c r="A66" s="27" t="s">
        <v>31</v>
      </c>
      <c r="B66" s="27" t="s">
        <v>32</v>
      </c>
      <c r="E66" s="26" t="n">
        <v>45047</v>
      </c>
      <c r="F66" s="27" t="s">
        <v>33</v>
      </c>
      <c r="Q66" s="27" t="n">
        <v>11716.67</v>
      </c>
    </row>
    <row r="67" customFormat="false" ht="14.25" hidden="false" customHeight="false" outlineLevel="0" collapsed="false">
      <c r="A67" s="27" t="s">
        <v>31</v>
      </c>
      <c r="B67" s="27" t="s">
        <v>32</v>
      </c>
      <c r="E67" s="26" t="n">
        <v>45078</v>
      </c>
      <c r="F67" s="27" t="s">
        <v>33</v>
      </c>
      <c r="Q67" s="27" t="n">
        <v>11716.67</v>
      </c>
    </row>
    <row r="68" customFormat="false" ht="14.25" hidden="false" customHeight="false" outlineLevel="0" collapsed="false">
      <c r="A68" s="27" t="s">
        <v>31</v>
      </c>
      <c r="B68" s="27" t="s">
        <v>32</v>
      </c>
      <c r="E68" s="26" t="n">
        <v>45108</v>
      </c>
      <c r="F68" s="27" t="s">
        <v>33</v>
      </c>
      <c r="Q68" s="27" t="n">
        <v>11716.67</v>
      </c>
    </row>
    <row r="69" customFormat="false" ht="14.25" hidden="false" customHeight="false" outlineLevel="0" collapsed="false">
      <c r="A69" s="27" t="s">
        <v>31</v>
      </c>
      <c r="B69" s="27" t="s">
        <v>32</v>
      </c>
      <c r="E69" s="26" t="n">
        <v>45139</v>
      </c>
      <c r="F69" s="27" t="s">
        <v>33</v>
      </c>
      <c r="Q69" s="27" t="n">
        <v>11716.67</v>
      </c>
    </row>
    <row r="70" customFormat="false" ht="14.25" hidden="false" customHeight="false" outlineLevel="0" collapsed="false">
      <c r="A70" s="27" t="s">
        <v>31</v>
      </c>
      <c r="B70" s="27" t="s">
        <v>32</v>
      </c>
      <c r="E70" s="26" t="n">
        <v>45170</v>
      </c>
      <c r="F70" s="27" t="s">
        <v>33</v>
      </c>
      <c r="Q70" s="27" t="n">
        <v>11716.67</v>
      </c>
    </row>
    <row r="71" customFormat="false" ht="14.25" hidden="false" customHeight="false" outlineLevel="0" collapsed="false">
      <c r="A71" s="27" t="s">
        <v>31</v>
      </c>
      <c r="B71" s="27" t="s">
        <v>32</v>
      </c>
      <c r="E71" s="26" t="n">
        <v>45200</v>
      </c>
      <c r="F71" s="27" t="s">
        <v>33</v>
      </c>
      <c r="Q71" s="27" t="n">
        <v>11716.67</v>
      </c>
    </row>
    <row r="72" customFormat="false" ht="14.25" hidden="false" customHeight="false" outlineLevel="0" collapsed="false">
      <c r="A72" s="27" t="s">
        <v>31</v>
      </c>
      <c r="B72" s="27" t="s">
        <v>32</v>
      </c>
      <c r="E72" s="26" t="n">
        <v>45231</v>
      </c>
      <c r="F72" s="27" t="s">
        <v>33</v>
      </c>
      <c r="Q72" s="27" t="n">
        <v>11716.67</v>
      </c>
    </row>
    <row r="73" customFormat="false" ht="14.25" hidden="false" customHeight="false" outlineLevel="0" collapsed="false">
      <c r="A73" s="27" t="s">
        <v>31</v>
      </c>
      <c r="B73" s="27" t="s">
        <v>32</v>
      </c>
      <c r="E73" s="26" t="n">
        <v>45261</v>
      </c>
      <c r="F73" s="27" t="s">
        <v>33</v>
      </c>
      <c r="Q73" s="27" t="n">
        <v>11716.67</v>
      </c>
    </row>
    <row r="74" customFormat="false" ht="14.25" hidden="false" customHeight="false" outlineLevel="0" collapsed="false">
      <c r="A74" s="1" t="s">
        <v>28</v>
      </c>
      <c r="B74" s="27" t="s">
        <v>29</v>
      </c>
      <c r="E74" s="26" t="n">
        <v>44927</v>
      </c>
      <c r="F74" s="27" t="s">
        <v>30</v>
      </c>
      <c r="H74" s="13" t="n">
        <v>11235050</v>
      </c>
      <c r="Q74" s="27"/>
      <c r="R74" s="1" t="n">
        <v>2000000</v>
      </c>
    </row>
    <row r="75" customFormat="false" ht="14.25" hidden="false" customHeight="false" outlineLevel="0" collapsed="false">
      <c r="A75" s="1" t="s">
        <v>28</v>
      </c>
      <c r="B75" s="1" t="s">
        <v>29</v>
      </c>
      <c r="E75" s="26" t="n">
        <v>44958</v>
      </c>
      <c r="F75" s="27" t="s">
        <v>30</v>
      </c>
      <c r="H75" s="13" t="n">
        <v>11235050</v>
      </c>
    </row>
    <row r="76" customFormat="false" ht="14.25" hidden="false" customHeight="false" outlineLevel="0" collapsed="false">
      <c r="A76" s="1" t="s">
        <v>28</v>
      </c>
      <c r="B76" s="1" t="s">
        <v>29</v>
      </c>
      <c r="E76" s="26" t="n">
        <v>44986</v>
      </c>
      <c r="F76" s="27" t="s">
        <v>30</v>
      </c>
      <c r="H76" s="13" t="n">
        <v>11235050</v>
      </c>
    </row>
    <row r="77" customFormat="false" ht="14.25" hidden="false" customHeight="false" outlineLevel="0" collapsed="false">
      <c r="A77" s="1" t="s">
        <v>28</v>
      </c>
      <c r="B77" s="1" t="s">
        <v>29</v>
      </c>
      <c r="E77" s="26" t="n">
        <v>45017</v>
      </c>
      <c r="F77" s="27" t="s">
        <v>30</v>
      </c>
      <c r="H77" s="13" t="n">
        <v>11235050</v>
      </c>
    </row>
    <row r="78" customFormat="false" ht="14.25" hidden="false" customHeight="false" outlineLevel="0" collapsed="false">
      <c r="A78" s="1" t="s">
        <v>28</v>
      </c>
      <c r="B78" s="1" t="s">
        <v>29</v>
      </c>
      <c r="E78" s="11" t="n">
        <v>45047</v>
      </c>
      <c r="F78" s="27" t="s">
        <v>30</v>
      </c>
      <c r="H78" s="13" t="n">
        <v>11234800</v>
      </c>
    </row>
    <row r="79" customFormat="false" ht="14.25" hidden="false" customHeight="false" outlineLevel="0" collapsed="false">
      <c r="A79" s="1" t="s">
        <v>28</v>
      </c>
      <c r="B79" s="1" t="s">
        <v>29</v>
      </c>
      <c r="E79" s="11" t="n">
        <v>45078</v>
      </c>
      <c r="F79" s="27" t="s">
        <v>30</v>
      </c>
      <c r="H79" s="13" t="n">
        <v>11234800</v>
      </c>
    </row>
    <row r="80" customFormat="false" ht="14.25" hidden="false" customHeight="false" outlineLevel="0" collapsed="false">
      <c r="A80" s="1" t="s">
        <v>28</v>
      </c>
      <c r="B80" s="1" t="s">
        <v>29</v>
      </c>
      <c r="E80" s="11" t="n">
        <v>45108</v>
      </c>
      <c r="F80" s="27" t="s">
        <v>30</v>
      </c>
      <c r="H80" s="13" t="n">
        <v>15362865</v>
      </c>
    </row>
    <row r="81" customFormat="false" ht="14.25" hidden="false" customHeight="false" outlineLevel="0" collapsed="false">
      <c r="A81" s="1" t="s">
        <v>28</v>
      </c>
      <c r="B81" s="1" t="s">
        <v>29</v>
      </c>
      <c r="E81" s="11" t="n">
        <v>45139</v>
      </c>
      <c r="F81" s="27" t="s">
        <v>30</v>
      </c>
      <c r="H81" s="13" t="n">
        <v>15362572</v>
      </c>
    </row>
    <row r="82" customFormat="false" ht="14.25" hidden="false" customHeight="false" outlineLevel="0" collapsed="false">
      <c r="A82" s="1" t="s">
        <v>28</v>
      </c>
      <c r="B82" s="1" t="s">
        <v>29</v>
      </c>
      <c r="E82" s="11" t="n">
        <v>45170</v>
      </c>
      <c r="F82" s="27" t="s">
        <v>30</v>
      </c>
      <c r="H82" s="13" t="n">
        <v>15362572</v>
      </c>
    </row>
    <row r="83" customFormat="false" ht="14.25" hidden="false" customHeight="false" outlineLevel="0" collapsed="false">
      <c r="A83" s="1" t="s">
        <v>28</v>
      </c>
      <c r="B83" s="1" t="s">
        <v>29</v>
      </c>
      <c r="E83" s="11" t="n">
        <v>45200</v>
      </c>
      <c r="F83" s="27" t="s">
        <v>30</v>
      </c>
      <c r="H83" s="13" t="n">
        <v>15400529</v>
      </c>
    </row>
    <row r="84" customFormat="false" ht="14.25" hidden="false" customHeight="false" outlineLevel="0" collapsed="false">
      <c r="A84" s="1" t="s">
        <v>28</v>
      </c>
      <c r="B84" s="1" t="s">
        <v>29</v>
      </c>
      <c r="E84" s="11" t="n">
        <v>45231</v>
      </c>
      <c r="F84" s="27" t="s">
        <v>30</v>
      </c>
      <c r="H84" s="13" t="n">
        <v>15400529</v>
      </c>
    </row>
    <row r="85" customFormat="false" ht="14.25" hidden="false" customHeight="false" outlineLevel="0" collapsed="false">
      <c r="A85" s="1" t="s">
        <v>28</v>
      </c>
      <c r="B85" s="1" t="s">
        <v>29</v>
      </c>
      <c r="E85" s="11" t="n">
        <v>45261</v>
      </c>
      <c r="F85" s="27" t="s">
        <v>30</v>
      </c>
      <c r="H85" s="13" t="n">
        <v>15399779</v>
      </c>
    </row>
  </sheetData>
  <autoFilter ref="A1:Y85">
    <sortState ref="A2:Y85">
      <sortCondition ref="A2:A85" descending="1" customList=""/>
    </sortState>
  </autoFilter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E6AE5270B8374EAF2AF9F1B0F46D33" ma:contentTypeVersion="6" ma:contentTypeDescription="Crie um novo documento." ma:contentTypeScope="" ma:versionID="d01d42f0cca34b1686503239525ddc09">
  <xsd:schema xmlns:xsd="http://www.w3.org/2001/XMLSchema" xmlns:xs="http://www.w3.org/2001/XMLSchema" xmlns:p="http://schemas.microsoft.com/office/2006/metadata/properties" xmlns:ns2="636d68f4-2ce6-408a-a62e-12f4a8e67e29" xmlns:ns3="fb25f067-28d8-4716-83c3-be9f5ed839f2" targetNamespace="http://schemas.microsoft.com/office/2006/metadata/properties" ma:root="true" ma:fieldsID="fade04d4e355b744763318d1d9c150ed" ns2:_="" ns3:_="">
    <xsd:import namespace="636d68f4-2ce6-408a-a62e-12f4a8e67e29"/>
    <xsd:import namespace="fb25f067-28d8-4716-83c3-be9f5ed839f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d68f4-2ce6-408a-a62e-12f4a8e67e2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5f067-28d8-4716-83c3-be9f5ed839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98253E-770C-4667-88F7-E2910DC5C859}">
  <ds:schemaRefs>
    <ds:schemaRef ds:uri="http://purl.org/dc/elements/1.1/"/>
    <ds:schemaRef ds:uri="fb25f067-28d8-4716-83c3-be9f5ed839f2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636d68f4-2ce6-408a-a62e-12f4a8e67e29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AC41BD2-150F-4A2D-98F7-FA53B542B5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6d68f4-2ce6-408a-a62e-12f4a8e67e29"/>
    <ds:schemaRef ds:uri="fb25f067-28d8-4716-83c3-be9f5ed839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DB4C51-CE92-4F49-B962-DD42A5356CF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e61996e-cafd-4c9a-8a94-2dc1b82131ae}" enabled="1" method="Standard" siteId="{5b6f6241-9a57-4be4-8e50-1dfa72e79a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LibreOffice/25.2.5.2$Windows_X86_64 LibreOffice_project/03d19516eb2e1dd5d4ccd751a0d6f35f35e08022</Application>
  <AppVersion>15.0000</AppVersion>
  <Company>Petrobras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2020-12-04T15:50:13Z</dcterms:created>
  <dc:creator>Luiz Arthur Silva de Faria</dc:creator>
  <dc:description/>
  <dc:language>pt-BR</dc:language>
  <cp:lastModifiedBy/>
  <dcterms:modified xsi:type="dcterms:W3CDTF">2025-10-06T10:34:00Z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0x010100BFE6AE5270B8374EAF2AF9F1B0F46D33</vt:lpwstr>
  </property>
  <property fmtid="{D5CDD505-2E9C-101B-9397-08002B2CF9AE}" pid="4" name="MSIP_Label_8e61996e-cafd-4c9a-8a94-2dc1b82131ae_ActionId">
    <vt:lpwstr>5c89250b-5ddf-4ebe-ae4f-a8c2a4a4dbb7</vt:lpwstr>
  </property>
  <property fmtid="{D5CDD505-2E9C-101B-9397-08002B2CF9AE}" pid="5" name="MSIP_Label_8e61996e-cafd-4c9a-8a94-2dc1b82131ae_ContentBits">
    <vt:lpwstr>0</vt:lpwstr>
  </property>
  <property fmtid="{D5CDD505-2E9C-101B-9397-08002B2CF9AE}" pid="6" name="MSIP_Label_8e61996e-cafd-4c9a-8a94-2dc1b82131ae_Enabled">
    <vt:lpwstr>true</vt:lpwstr>
  </property>
  <property fmtid="{D5CDD505-2E9C-101B-9397-08002B2CF9AE}" pid="7" name="MSIP_Label_8e61996e-cafd-4c9a-8a94-2dc1b82131ae_Method">
    <vt:lpwstr>Standard</vt:lpwstr>
  </property>
  <property fmtid="{D5CDD505-2E9C-101B-9397-08002B2CF9AE}" pid="8" name="MSIP_Label_8e61996e-cafd-4c9a-8a94-2dc1b82131ae_Name">
    <vt:lpwstr>NP-1</vt:lpwstr>
  </property>
  <property fmtid="{D5CDD505-2E9C-101B-9397-08002B2CF9AE}" pid="9" name="MSIP_Label_8e61996e-cafd-4c9a-8a94-2dc1b82131ae_SetDate">
    <vt:lpwstr>2020-12-04T15:50:14Z</vt:lpwstr>
  </property>
  <property fmtid="{D5CDD505-2E9C-101B-9397-08002B2CF9AE}" pid="10" name="MSIP_Label_8e61996e-cafd-4c9a-8a94-2dc1b82131ae_SiteId">
    <vt:lpwstr>5b6f6241-9a57-4be4-8e50-1dfa72e79a57</vt:lpwstr>
  </property>
  <property fmtid="{D5CDD505-2E9C-101B-9397-08002B2CF9AE}" pid="11" name="MediaServiceImageTags">
    <vt:lpwstr/>
  </property>
  <property fmtid="{D5CDD505-2E9C-101B-9397-08002B2CF9AE}" pid="12" name="Order">
    <vt:r8>582700</vt:r8>
  </property>
  <property fmtid="{D5CDD505-2E9C-101B-9397-08002B2CF9AE}" pid="13" name="TemplateUrl">
    <vt:lpwstr/>
  </property>
  <property fmtid="{D5CDD505-2E9C-101B-9397-08002B2CF9AE}" pid="14" name="TriggerFlowInfo">
    <vt:lpwstr/>
  </property>
  <property fmtid="{D5CDD505-2E9C-101B-9397-08002B2CF9AE}" pid="15" name="_ExtendedDescription">
    <vt:lpwstr/>
  </property>
  <property fmtid="{D5CDD505-2E9C-101B-9397-08002B2CF9AE}" pid="16" name="xd_ProgID">
    <vt:lpwstr/>
  </property>
  <property fmtid="{D5CDD505-2E9C-101B-9397-08002B2CF9AE}" pid="17" name="xd_Signature">
    <vt:bool>0</vt:bool>
  </property>
</Properties>
</file>